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w10\Downloads\"/>
    </mc:Choice>
  </mc:AlternateContent>
  <bookViews>
    <workbookView xWindow="0" yWindow="0" windowWidth="19725" windowHeight="8040" tabRatio="739"/>
  </bookViews>
  <sheets>
    <sheet name="Iteraciones Ciclo 2" sheetId="2" r:id="rId1"/>
    <sheet name="Estado por HU" sheetId="33" state="hidden" r:id="rId2"/>
    <sheet name="Parametro" sheetId="31" state="hidden" r:id="rId3"/>
    <sheet name="Incidencias (graf)" sheetId="24" state="hidden" r:id="rId4"/>
    <sheet name="Gráficas Dif-IBM" sheetId="20" state="hidden" r:id="rId5"/>
    <sheet name="Curva de Avance" sheetId="9" state="hidden" r:id="rId6"/>
    <sheet name="Tablas1" sheetId="18" state="hidden" r:id="rId7"/>
  </sheets>
  <definedNames>
    <definedName name="_xlnm._FilterDatabase" localSheetId="0" hidden="1">'Iteraciones Ciclo 2'!$A$1:$CQ$4</definedName>
  </definedNames>
  <calcPr calcId="162913"/>
  <pivotCaches>
    <pivotCache cacheId="0" r:id="rId8"/>
    <pivotCache cacheId="1" r:id="rId9"/>
    <pivotCache cacheId="2"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4" i="24" l="1"/>
  <c r="D15" i="24"/>
  <c r="D17" i="24"/>
  <c r="D18" i="24"/>
  <c r="D19" i="24"/>
  <c r="D20" i="24"/>
  <c r="D21"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C14" i="24"/>
  <c r="C15" i="24"/>
  <c r="C17" i="24"/>
  <c r="C18" i="24"/>
  <c r="C19" i="24"/>
  <c r="C20" i="24"/>
  <c r="C21" i="24"/>
  <c r="C23" i="24"/>
  <c r="C24" i="24"/>
  <c r="C25" i="24"/>
  <c r="C26" i="24"/>
  <c r="C27" i="24"/>
  <c r="C28" i="24"/>
  <c r="C29" i="24"/>
  <c r="C30" i="24"/>
  <c r="C31" i="24"/>
  <c r="C32" i="24"/>
  <c r="C33" i="24"/>
  <c r="C34" i="24"/>
  <c r="C35" i="24"/>
  <c r="C36" i="24"/>
  <c r="C37" i="24"/>
  <c r="C38" i="24"/>
  <c r="C39" i="24"/>
  <c r="C40" i="24"/>
  <c r="C41" i="24"/>
  <c r="C42" i="24"/>
  <c r="C43" i="24"/>
  <c r="C44" i="24"/>
  <c r="C45" i="24"/>
  <c r="C46" i="24"/>
  <c r="C47" i="24"/>
  <c r="C48" i="24"/>
  <c r="C49" i="24"/>
  <c r="C50" i="24"/>
  <c r="C51" i="24"/>
  <c r="C52" i="24"/>
  <c r="C53" i="24"/>
  <c r="C5" i="24"/>
  <c r="D5" i="24"/>
  <c r="C4" i="24"/>
  <c r="D4" i="24"/>
  <c r="C7" i="24"/>
  <c r="D7" i="24"/>
  <c r="C13" i="24"/>
  <c r="D13" i="24"/>
  <c r="C22" i="24"/>
  <c r="D22" i="24"/>
  <c r="C16" i="24"/>
  <c r="D16" i="24"/>
  <c r="C12" i="24"/>
  <c r="D12" i="24"/>
  <c r="C11" i="24"/>
  <c r="D11" i="24"/>
  <c r="C8" i="24"/>
  <c r="D8" i="24"/>
  <c r="D9" i="24"/>
  <c r="C9" i="24"/>
  <c r="D10" i="24"/>
  <c r="D6" i="24"/>
  <c r="C10" i="24"/>
  <c r="C6" i="24"/>
  <c r="B25" i="20" l="1"/>
  <c r="CH1" i="2" l="1"/>
  <c r="CA1" i="2" l="1"/>
  <c r="CB1" i="2"/>
  <c r="CG1" i="2"/>
  <c r="BZ1" i="2"/>
  <c r="BR1" i="2" l="1"/>
  <c r="BQ1" i="2" l="1"/>
  <c r="BP1" i="2"/>
  <c r="BO1" i="2" l="1"/>
  <c r="BN1" i="2" l="1"/>
  <c r="BM1" i="2" l="1"/>
  <c r="BK1" i="2"/>
  <c r="BJ1" i="2" l="1"/>
  <c r="BI1" i="2" l="1"/>
  <c r="BH1" i="2" l="1"/>
  <c r="BE1" i="2" l="1"/>
  <c r="BD1" i="2" l="1"/>
  <c r="BC1" i="2" l="1"/>
  <c r="BB1" i="2" l="1"/>
  <c r="BA1" i="2" l="1"/>
  <c r="AY1" i="2" l="1"/>
  <c r="AS1" i="2" l="1"/>
  <c r="AT1" i="2"/>
  <c r="AU1" i="2"/>
  <c r="AV1" i="2"/>
  <c r="AW1" i="2"/>
  <c r="AX1" i="2"/>
  <c r="E5" i="20" l="1"/>
  <c r="E7" i="20"/>
  <c r="E6" i="20"/>
  <c r="E8" i="20"/>
  <c r="D8" i="20"/>
  <c r="C5" i="20"/>
  <c r="D5" i="20"/>
  <c r="D7" i="20"/>
  <c r="D6" i="20"/>
  <c r="E4" i="20" l="1"/>
  <c r="E3" i="20" s="1"/>
  <c r="B5" i="20"/>
  <c r="C4" i="20"/>
  <c r="C3" i="20" s="1"/>
  <c r="C6" i="20"/>
  <c r="C7" i="20"/>
  <c r="C8" i="20"/>
  <c r="B8" i="20" l="1"/>
  <c r="B7" i="20"/>
  <c r="B6" i="20"/>
  <c r="AK1" i="2" l="1"/>
  <c r="AL1" i="2"/>
  <c r="AM1" i="2"/>
  <c r="AN1" i="2"/>
  <c r="AO1" i="2"/>
  <c r="AP1" i="2"/>
  <c r="AQ1" i="2"/>
  <c r="AR1" i="2"/>
  <c r="P1" i="2"/>
  <c r="Q1" i="2"/>
  <c r="R1" i="2"/>
  <c r="S1" i="2"/>
  <c r="T1" i="2"/>
  <c r="U1" i="2"/>
  <c r="V1" i="2"/>
  <c r="O1" i="2"/>
  <c r="Y1" i="2"/>
  <c r="Z1" i="2"/>
  <c r="AA1" i="2"/>
  <c r="AB1" i="2"/>
  <c r="AC1" i="2"/>
  <c r="AD1" i="2"/>
  <c r="AE1" i="2"/>
  <c r="AF1" i="2"/>
  <c r="AG1" i="2"/>
  <c r="AH1" i="2"/>
  <c r="A25" i="24" l="1"/>
  <c r="A26" i="24"/>
  <c r="A27" i="24"/>
  <c r="A28" i="24"/>
  <c r="A29" i="24"/>
  <c r="A30" i="24"/>
  <c r="A31" i="24"/>
  <c r="A32" i="24"/>
  <c r="A33" i="24"/>
  <c r="A34" i="24"/>
  <c r="A35" i="24"/>
  <c r="A36" i="24"/>
  <c r="A37" i="24"/>
  <c r="A38" i="24"/>
  <c r="A39" i="24"/>
  <c r="A40" i="24"/>
  <c r="A41" i="24"/>
  <c r="A42" i="24"/>
  <c r="A43" i="24"/>
  <c r="A44" i="24"/>
  <c r="A45" i="24"/>
  <c r="A46" i="24"/>
  <c r="A47" i="24"/>
  <c r="A48" i="24"/>
  <c r="A49" i="24"/>
  <c r="A50" i="24"/>
  <c r="A51" i="24"/>
  <c r="A52" i="24"/>
  <c r="A53" i="24"/>
  <c r="A4" i="24"/>
  <c r="A5" i="24" s="1"/>
  <c r="A6" i="24" s="1"/>
  <c r="A7" i="24" s="1"/>
  <c r="A8" i="24" s="1"/>
  <c r="A9" i="24" s="1"/>
  <c r="A10" i="24" s="1"/>
  <c r="A11" i="24" s="1"/>
  <c r="A12" i="24" s="1"/>
  <c r="A13" i="24" s="1"/>
  <c r="A14" i="24" s="1"/>
  <c r="A15" i="24" s="1"/>
  <c r="A16" i="24" s="1"/>
  <c r="A17" i="24" s="1"/>
  <c r="A18" i="24" s="1"/>
  <c r="A19" i="24" s="1"/>
  <c r="A20" i="24" s="1"/>
  <c r="A21" i="24" s="1"/>
  <c r="A22" i="24" s="1"/>
  <c r="A23" i="24" s="1"/>
  <c r="A24" i="24" s="1"/>
  <c r="O7" i="9" l="1"/>
  <c r="N7" i="9"/>
  <c r="M7" i="9"/>
  <c r="G7" i="9"/>
  <c r="F7" i="9"/>
  <c r="E7" i="9"/>
  <c r="D7" i="9"/>
  <c r="C7" i="9"/>
  <c r="B7" i="9"/>
  <c r="B23" i="20"/>
  <c r="B24" i="20"/>
  <c r="B22" i="20"/>
  <c r="B26" i="20" l="1"/>
  <c r="B27" i="20" s="1"/>
  <c r="W1" i="2"/>
  <c r="H13" i="9" l="1"/>
  <c r="H7" i="9" s="1"/>
  <c r="K5" i="9"/>
  <c r="L5" i="9"/>
  <c r="L11" i="9" s="1"/>
  <c r="L8" i="9" s="1"/>
  <c r="M5" i="9"/>
  <c r="M11" i="9" s="1"/>
  <c r="M8" i="9" s="1"/>
  <c r="N5" i="9"/>
  <c r="N11" i="9" s="1"/>
  <c r="N8" i="9" s="1"/>
  <c r="O5" i="9"/>
  <c r="O11" i="9" s="1"/>
  <c r="O8" i="9" s="1"/>
  <c r="B5" i="9"/>
  <c r="B3" i="9"/>
  <c r="C3" i="9" s="1"/>
  <c r="D3" i="9" s="1"/>
  <c r="E3" i="9" s="1"/>
  <c r="F3" i="9" s="1"/>
  <c r="G3" i="9" s="1"/>
  <c r="C17" i="9" s="1"/>
  <c r="H3" i="9" l="1"/>
  <c r="I3" i="9" s="1"/>
  <c r="J3" i="9" s="1"/>
  <c r="K3" i="9" s="1"/>
  <c r="I13" i="9"/>
  <c r="I7" i="9" s="1"/>
  <c r="C5" i="9"/>
  <c r="BG1" i="2"/>
  <c r="AJ1" i="2"/>
  <c r="X1" i="2"/>
  <c r="BL1" i="2"/>
  <c r="BF1" i="2"/>
  <c r="AZ1" i="2"/>
  <c r="AI1" i="2"/>
  <c r="B29" i="20"/>
  <c r="B28" i="20" s="1"/>
  <c r="B17" i="9" l="1"/>
  <c r="C10" i="9" s="1"/>
  <c r="J13" i="9"/>
  <c r="J7" i="9" s="1"/>
  <c r="K11" i="9"/>
  <c r="L3" i="9"/>
  <c r="D5" i="9"/>
  <c r="B10" i="9" l="1"/>
  <c r="D11" i="9"/>
  <c r="H10" i="9"/>
  <c r="G10" i="9"/>
  <c r="B11" i="9"/>
  <c r="H14" i="9"/>
  <c r="G14" i="9"/>
  <c r="D10" i="9"/>
  <c r="K10" i="9"/>
  <c r="F10" i="9"/>
  <c r="I10" i="9"/>
  <c r="J10" i="9"/>
  <c r="C11" i="9"/>
  <c r="C8" i="9" s="1"/>
  <c r="E10" i="9"/>
  <c r="I14" i="9"/>
  <c r="K13" i="9"/>
  <c r="K7" i="9" s="1"/>
  <c r="J14" i="9"/>
  <c r="K8" i="9"/>
  <c r="L10" i="9"/>
  <c r="M3" i="9"/>
  <c r="E5" i="9"/>
  <c r="E11" i="9" s="1"/>
  <c r="G7" i="24"/>
  <c r="B8" i="9" l="1"/>
  <c r="D8" i="9"/>
  <c r="E8" i="9"/>
  <c r="K14" i="9"/>
  <c r="L13" i="9"/>
  <c r="M10" i="9"/>
  <c r="N3" i="9"/>
  <c r="F5" i="9"/>
  <c r="F11" i="9" s="1"/>
  <c r="F8" i="9" s="1"/>
  <c r="L14" i="9" l="1"/>
  <c r="L7" i="9"/>
  <c r="N10" i="9"/>
  <c r="O3" i="9"/>
  <c r="G5" i="9"/>
  <c r="G11" i="9" l="1"/>
  <c r="G8" i="9" s="1"/>
  <c r="C18" i="9"/>
  <c r="O10" i="9"/>
  <c r="H5" i="9"/>
  <c r="H11" i="9" s="1"/>
  <c r="H8" i="9" s="1"/>
  <c r="I5" i="9" l="1"/>
  <c r="I11" i="9" s="1"/>
  <c r="I8" i="9" s="1"/>
  <c r="J5" i="9" l="1"/>
  <c r="J11" i="9" s="1"/>
  <c r="J8" i="9" s="1"/>
  <c r="B32" i="20" l="1"/>
  <c r="B30" i="20"/>
  <c r="B18" i="9" l="1"/>
  <c r="B31" i="20"/>
  <c r="G4" i="24" l="1"/>
  <c r="G5" i="24"/>
  <c r="G6" i="24" l="1"/>
  <c r="D4" i="20"/>
  <c r="B4" i="20" l="1"/>
  <c r="D3" i="20"/>
  <c r="E12" i="20" l="1"/>
  <c r="E13" i="20"/>
  <c r="E11" i="20"/>
  <c r="B3" i="20"/>
  <c r="D13" i="20"/>
  <c r="D12" i="20"/>
  <c r="D11" i="20"/>
  <c r="C13" i="20"/>
  <c r="C12" i="20"/>
  <c r="C11" i="20"/>
</calcChain>
</file>

<file path=xl/sharedStrings.xml><?xml version="1.0" encoding="utf-8"?>
<sst xmlns="http://schemas.openxmlformats.org/spreadsheetml/2006/main" count="169" uniqueCount="131">
  <si>
    <t>ID</t>
  </si>
  <si>
    <t>Modulo</t>
  </si>
  <si>
    <t>Pre Condición</t>
  </si>
  <si>
    <t xml:space="preserve">Caso de Prueba  </t>
  </si>
  <si>
    <t>N° Mantis</t>
  </si>
  <si>
    <t>Adjudicada a</t>
  </si>
  <si>
    <t>Equipo</t>
  </si>
  <si>
    <t>Severidad</t>
  </si>
  <si>
    <t>Resultado Esperado</t>
  </si>
  <si>
    <t>ID Mantis</t>
  </si>
  <si>
    <t>Fecha Reporte</t>
  </si>
  <si>
    <t>Observaciones</t>
  </si>
  <si>
    <t>Estado final</t>
  </si>
  <si>
    <t>Empresa responsable</t>
  </si>
  <si>
    <t>OK</t>
  </si>
  <si>
    <t>NO OK</t>
  </si>
  <si>
    <t>Pendiente</t>
  </si>
  <si>
    <t>Bloqueado</t>
  </si>
  <si>
    <t xml:space="preserve"> </t>
  </si>
  <si>
    <t>Etiquetas de fila</t>
  </si>
  <si>
    <t>Cuenta de Estado final</t>
  </si>
  <si>
    <t xml:space="preserve">HU1 </t>
  </si>
  <si>
    <t>HU2</t>
  </si>
  <si>
    <t>HU1</t>
  </si>
  <si>
    <t>HU3</t>
  </si>
  <si>
    <t>HU4</t>
  </si>
  <si>
    <t>Total general</t>
  </si>
  <si>
    <t>Columna1</t>
  </si>
  <si>
    <t>No Aplica</t>
  </si>
  <si>
    <t>Estado</t>
  </si>
  <si>
    <t>(Varios elementos)</t>
  </si>
  <si>
    <t>N°</t>
  </si>
  <si>
    <t>EQUIPO</t>
  </si>
  <si>
    <t>INCIDENCIAS</t>
  </si>
  <si>
    <t>(en blanco)</t>
  </si>
  <si>
    <t>Abiertas</t>
  </si>
  <si>
    <t>Cerradas</t>
  </si>
  <si>
    <t>Difarma</t>
  </si>
  <si>
    <t>Perfaware</t>
  </si>
  <si>
    <t>INCIDENCIAS POR RESPONSABLE</t>
  </si>
  <si>
    <t>ETAPA</t>
  </si>
  <si>
    <t>TOTAL</t>
  </si>
  <si>
    <t>DIFARMA</t>
  </si>
  <si>
    <t>PERFAWARE</t>
  </si>
  <si>
    <t>ALIGARE</t>
  </si>
  <si>
    <t>Fallo</t>
  </si>
  <si>
    <t>Mayor</t>
  </si>
  <si>
    <t>Menor</t>
  </si>
  <si>
    <t>AVANCE CASOS DE PRUEBAS</t>
  </si>
  <si>
    <t>Bloqueados</t>
  </si>
  <si>
    <t>Pendientes</t>
  </si>
  <si>
    <t>No  Aplica</t>
  </si>
  <si>
    <t>Ejecutados</t>
  </si>
  <si>
    <t>No ejecutados</t>
  </si>
  <si>
    <t>Número Total de Casos</t>
  </si>
  <si>
    <t>Porcentaje de Avance</t>
  </si>
  <si>
    <t>Porcentaje de Aceptación</t>
  </si>
  <si>
    <t>Casos Faltantes</t>
  </si>
  <si>
    <t>Casos Planificados</t>
  </si>
  <si>
    <t>Acumulado planificado</t>
  </si>
  <si>
    <t>Casos Ejecutados</t>
  </si>
  <si>
    <t>Acumulado real</t>
  </si>
  <si>
    <t>Proyección (Forecast)</t>
  </si>
  <si>
    <t>Forecast</t>
  </si>
  <si>
    <t>Desviación</t>
  </si>
  <si>
    <t>Avance Plan</t>
  </si>
  <si>
    <t>Avance Real</t>
  </si>
  <si>
    <t>Acumulado Forecast</t>
  </si>
  <si>
    <t>Proyección</t>
  </si>
  <si>
    <t>Casos Totales</t>
  </si>
  <si>
    <t>Casos Restantes</t>
  </si>
  <si>
    <t>(Todas)</t>
  </si>
  <si>
    <t>Cuenta de Adjudicada a</t>
  </si>
  <si>
    <t>Etiquetas de columna</t>
  </si>
  <si>
    <t>fallo</t>
  </si>
  <si>
    <t>mayor</t>
  </si>
  <si>
    <t>menor</t>
  </si>
  <si>
    <t>Logo</t>
  </si>
  <si>
    <t>Buscador</t>
  </si>
  <si>
    <t>Menú</t>
  </si>
  <si>
    <t>Home intuitiva</t>
  </si>
  <si>
    <t>Registro y Login</t>
  </si>
  <si>
    <t>Perfiles de Profesionales</t>
  </si>
  <si>
    <t>Buscador por puntaje</t>
  </si>
  <si>
    <t>Chat de Coordinacion</t>
  </si>
  <si>
    <t>Enlaces a Redes sociales</t>
  </si>
  <si>
    <t>Acceder a la página principal desde diferentes navegadores y dispositivos.</t>
  </si>
  <si>
    <t>El logo se muestra correctamente y se ajusta al tamaño y formato requeridos.</t>
  </si>
  <si>
    <t>Registrar los navegadores y dispositivos utilizados, así como cualquier problema de visualización encontrado.</t>
  </si>
  <si>
    <t>Registrar las palabras clave utilizadas y comparar los resultados obtenidos con los esperados.</t>
  </si>
  <si>
    <t>Hacer clic en cada opción del menú y verificar que se redirija correctamente a la página correspondiente.</t>
  </si>
  <si>
    <t>Acceder a la página principal y ubicar el menú de navegación</t>
  </si>
  <si>
    <t>Registrar las opciones del menú, las páginas a las que redirigen y cualquier problema de redireccionamiento encontrado.</t>
  </si>
  <si>
    <t>Navegar por la página de inicio y comprobar que la información se presente de manera clara y organizada.</t>
  </si>
  <si>
    <t xml:space="preserve"> Acceder a la página principal y revisar la disposición de la información.</t>
  </si>
  <si>
    <t>TC-001</t>
  </si>
  <si>
    <t>TC-002</t>
  </si>
  <si>
    <t>TC-003</t>
  </si>
  <si>
    <t>TC-004</t>
  </si>
  <si>
    <t>TC-005</t>
  </si>
  <si>
    <t>TC-006</t>
  </si>
  <si>
    <t>TC-007</t>
  </si>
  <si>
    <t>TC-008</t>
  </si>
  <si>
    <t>TC-009</t>
  </si>
  <si>
    <t xml:space="preserve"> Iniciar sesión en la plataforma y acceder al buscador.</t>
  </si>
  <si>
    <t>Acceder a la página de registro y completar el formulario con datos válidos.</t>
  </si>
  <si>
    <t>Realizar una búsqueda y acceder a los perfiles de diferentes profesionales.</t>
  </si>
  <si>
    <t>Acceder al buscador y especificar criterios de búsqueda según puntaje y ubicación.</t>
  </si>
  <si>
    <t>Tener acceso a un perfil de profesional y solicitar un "Match".</t>
  </si>
  <si>
    <t>Acceder a la página principal y hacer clic en los enlaces a las redes sociales.</t>
  </si>
  <si>
    <t>Verificar que el logo se muestre correctamente en diferentes navegadores y dispositivos</t>
  </si>
  <si>
    <t>Ingresar palabras clave relacionadas con los servicios y verificar que se muestren los resultados relevantes. Y Comprobar que los resultados del buscador sean precisos y actualizados.</t>
  </si>
  <si>
    <t xml:space="preserve"> Se muestran los resultados relevantes basados en las palabras clave ingresadas y Los resultados del buscador son precisos y se actualizan correctamente.</t>
  </si>
  <si>
    <t>Al hacer clic en cada opción del menú, se redirige correctamente a la página correspondiente.</t>
  </si>
  <si>
    <t xml:space="preserve"> La información en la página de inicio se presenta de manera clara y organizada.</t>
  </si>
  <si>
    <t>Registrar cualquier problema de disposición o presentación de la información encontrada.</t>
  </si>
  <si>
    <t>Registrar un nuevo usuario y verificar que los datos se almacenen correctamente en la base de datos. Y Iniciar sesión con credenciales válidas y confirmar que se permita el acceso al perfil del usuario.</t>
  </si>
  <si>
    <t>Los datos del nuevo usuario se guardan correctamente en la base de datos y Al iniciar sesión con las credenciales válidas, se permite el acceso al perfil del usuario.</t>
  </si>
  <si>
    <t>Registrar las credenciales utilizadas y verificar el acceso correcto al perfil del usuario</t>
  </si>
  <si>
    <t>Acceder a diferentes perfiles de profesionales y verificar la exactitud de la información mostrada.</t>
  </si>
  <si>
    <t>La información mostrada en los perfiles de los profesionales es precisa y completa y despues de realizar algun cambio de perfil se actualice correctamente los cambios</t>
  </si>
  <si>
    <t>Registrar los profesionales cuyos perfiles se han verificado y comparar la información con los datos esperados.</t>
  </si>
  <si>
    <t>Realizar búsquedas de profesionales según su puntaje y ubicación y verificar que se muestren los resultados adecuados y en el orden correcto.</t>
  </si>
  <si>
    <t>Se muestran los resultados de búsqueda adecuados y en el orden correcto basado en el puntaje y la ubicación especificados.</t>
  </si>
  <si>
    <t>Registrar los criterios de búsqueda utilizados, los resultados obtenidos y compararlos con los esperados.</t>
  </si>
  <si>
    <t>Realizar un "Match" con un profesional y verificar que se habilite un chat de coordinación.</t>
  </si>
  <si>
    <t>Después de solicitar un "Match", se habilita un chat via WhatsApp de coordinación con el profesional correspondiente.</t>
  </si>
  <si>
    <t>Registrar el proceso de solicitud de "Match" y verificar la disponibilidad del chat de coordinación.</t>
  </si>
  <si>
    <t>Comprobar que los enlaces funcionen correctamente y dirijan a las páginas correspondientes.</t>
  </si>
  <si>
    <t>Al hacer clic en los enlaces, se comparten los contenidos correctos en las redes sociales (títulos, descripciones, imágenes, etc.).</t>
  </si>
  <si>
    <t>Registrar las redes sociales enlazadas y verificar que los contenidos compartidos sean precisos.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</si>
</sst>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dd/mm"/>
    <numFmt numFmtId="165" formatCode="dd/m"/>
    <numFmt numFmtId="166" formatCode="yyyy\-mm\-dd;@"/>
  </numFmts>
  <fonts count="69" x14ac:knownFonts="1">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8"/>
      <name val="Calibri Light"/>
      <family val="2"/>
      <scheme val="major"/>
    </font>
    <font>
      <sz val="8"/>
      <name val="Tahoma"/>
      <family val="2"/>
    </font>
    <font>
      <b/>
      <sz val="11"/>
      <color theme="0"/>
      <name val="Calibri Light"/>
      <family val="2"/>
      <scheme val="major"/>
    </font>
    <font>
      <sz val="11"/>
      <name val="Calibri Light"/>
      <family val="2"/>
      <scheme val="major"/>
    </font>
    <font>
      <sz val="11"/>
      <color indexed="12"/>
      <name val="Calibri Light"/>
      <family val="2"/>
      <scheme val="major"/>
    </font>
    <font>
      <b/>
      <sz val="11"/>
      <name val="Calibri Light"/>
      <family val="2"/>
      <scheme val="major"/>
    </font>
    <font>
      <sz val="11"/>
      <color theme="4" tint="-0.249977111117893"/>
      <name val="Calibri Light"/>
      <family val="2"/>
      <scheme val="major"/>
    </font>
    <font>
      <sz val="10"/>
      <color theme="4" tint="-0.249977111117893"/>
      <name val="Calibri Light"/>
      <family val="2"/>
      <scheme val="major"/>
    </font>
    <font>
      <b/>
      <sz val="11"/>
      <color indexed="8"/>
      <name val="Calibri"/>
      <family val="2"/>
    </font>
    <font>
      <sz val="14"/>
      <color indexed="9"/>
      <name val="Calibri Light"/>
      <family val="2"/>
      <scheme val="major"/>
    </font>
    <font>
      <sz val="14"/>
      <color indexed="8"/>
      <name val="Calibri Light"/>
      <family val="2"/>
      <scheme val="major"/>
    </font>
    <font>
      <sz val="9"/>
      <color indexed="8"/>
      <name val="Calibri"/>
      <family val="2"/>
    </font>
    <font>
      <b/>
      <sz val="9"/>
      <color indexed="8"/>
      <name val="Calibri"/>
      <family val="2"/>
    </font>
    <font>
      <sz val="9"/>
      <name val="Calibri"/>
      <family val="2"/>
    </font>
    <font>
      <b/>
      <sz val="11"/>
      <color theme="1"/>
      <name val="Calibri"/>
      <family val="2"/>
      <scheme val="minor"/>
    </font>
    <font>
      <b/>
      <sz val="10"/>
      <color indexed="8"/>
      <name val="Calibri"/>
      <family val="2"/>
    </font>
    <font>
      <sz val="10"/>
      <color indexed="8"/>
      <name val="Calibri"/>
      <family val="2"/>
    </font>
    <font>
      <sz val="9"/>
      <color theme="0"/>
      <name val="Calibri"/>
      <family val="2"/>
    </font>
    <font>
      <b/>
      <sz val="9"/>
      <color rgb="FFFF0000"/>
      <name val="Calibri"/>
      <family val="2"/>
    </font>
    <font>
      <b/>
      <sz val="10"/>
      <color theme="8" tint="-0.249977111117893"/>
      <name val="Calibri"/>
      <family val="2"/>
    </font>
    <font>
      <b/>
      <sz val="10"/>
      <color theme="5" tint="-0.249977111117893"/>
      <name val="Calibri"/>
      <family val="2"/>
    </font>
    <font>
      <sz val="12"/>
      <color indexed="8"/>
      <name val="Calibri"/>
      <family val="2"/>
    </font>
    <font>
      <b/>
      <sz val="10"/>
      <color theme="0"/>
      <name val="Calibri"/>
      <family val="2"/>
    </font>
    <font>
      <b/>
      <sz val="11"/>
      <color theme="1"/>
      <name val="Calibri"/>
      <family val="2"/>
    </font>
    <font>
      <sz val="12"/>
      <color theme="0"/>
      <name val="Calibri"/>
      <family val="2"/>
    </font>
    <font>
      <b/>
      <sz val="11"/>
      <color rgb="FFFFFFFF"/>
      <name val="Calibri"/>
      <family val="2"/>
    </font>
    <font>
      <sz val="10"/>
      <color rgb="FF000000"/>
      <name val="Calibri"/>
      <family val="2"/>
    </font>
    <font>
      <b/>
      <sz val="9"/>
      <color theme="0"/>
      <name val="Calibri"/>
      <family val="2"/>
    </font>
    <font>
      <sz val="12"/>
      <color indexed="8"/>
      <name val="Calibri"/>
      <family val="2"/>
      <scheme val="minor"/>
    </font>
    <font>
      <b/>
      <sz val="11"/>
      <name val="Calibri"/>
      <family val="2"/>
    </font>
    <font>
      <sz val="11"/>
      <color rgb="FFFF0000"/>
      <name val="Calibri"/>
      <family val="2"/>
      <scheme val="minor"/>
    </font>
    <font>
      <sz val="8"/>
      <name val="Calibri"/>
      <family val="2"/>
    </font>
    <font>
      <b/>
      <sz val="16"/>
      <color theme="1"/>
      <name val="Calibri"/>
      <family val="2"/>
      <scheme val="minor"/>
    </font>
    <font>
      <sz val="10"/>
      <color theme="1"/>
      <name val="Calibri"/>
      <family val="2"/>
      <scheme val="minor"/>
    </font>
    <font>
      <b/>
      <sz val="10"/>
      <color rgb="FFFFFFFF"/>
      <name val="Calibri"/>
      <family val="2"/>
    </font>
    <font>
      <b/>
      <sz val="10"/>
      <name val="Calibri"/>
      <family val="2"/>
    </font>
    <font>
      <b/>
      <sz val="18"/>
      <color theme="1"/>
      <name val="Calibri"/>
      <family val="2"/>
      <scheme val="minor"/>
    </font>
    <font>
      <b/>
      <sz val="16"/>
      <color rgb="FFFFFFFF"/>
      <name val="Calibri"/>
      <family val="2"/>
    </font>
    <font>
      <b/>
      <sz val="14"/>
      <color theme="1"/>
      <name val="Calibri"/>
      <family val="2"/>
      <scheme val="minor"/>
    </font>
    <font>
      <b/>
      <sz val="14"/>
      <color theme="0"/>
      <name val="Calibri Light"/>
      <family val="2"/>
      <scheme val="major"/>
    </font>
    <font>
      <b/>
      <sz val="10"/>
      <name val="Calibri Light"/>
      <family val="2"/>
      <scheme val="major"/>
    </font>
    <font>
      <b/>
      <sz val="10"/>
      <color theme="0"/>
      <name val="Calibri Light"/>
      <family val="2"/>
      <scheme val="maj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2"/>
      <color indexed="8"/>
      <name val="Segoe UI"/>
      <family val="2"/>
    </font>
    <font>
      <b/>
      <sz val="12"/>
      <color indexed="8"/>
      <name val="Segoe UI"/>
      <family val="2"/>
    </font>
  </fonts>
  <fills count="63">
    <fill>
      <patternFill patternType="none"/>
    </fill>
    <fill>
      <patternFill patternType="gray125"/>
    </fill>
    <fill>
      <patternFill patternType="solid">
        <fgColor indexed="27"/>
        <bgColor indexed="41"/>
      </patternFill>
    </fill>
    <fill>
      <patternFill patternType="solid">
        <fgColor theme="4" tint="-0.249977111117893"/>
        <bgColor indexed="64"/>
      </patternFill>
    </fill>
    <fill>
      <patternFill patternType="solid">
        <fgColor rgb="FFCCFFCC"/>
        <bgColor indexed="64"/>
      </patternFill>
    </fill>
    <fill>
      <patternFill patternType="solid">
        <fgColor rgb="FFFFFFCC"/>
        <bgColor indexed="64"/>
      </patternFill>
    </fill>
    <fill>
      <patternFill patternType="solid">
        <fgColor theme="7" tint="0.39997558519241921"/>
        <bgColor indexed="64"/>
      </patternFill>
    </fill>
    <fill>
      <patternFill patternType="solid">
        <fgColor theme="4" tint="-0.249977111117893"/>
        <bgColor indexed="39"/>
      </patternFill>
    </fill>
    <fill>
      <patternFill patternType="solid">
        <fgColor theme="0" tint="-4.9989318521683403E-2"/>
        <bgColor indexed="39"/>
      </patternFill>
    </fill>
    <fill>
      <patternFill patternType="solid">
        <fgColor theme="8" tint="-0.249977111117893"/>
        <bgColor indexed="64"/>
      </patternFill>
    </fill>
    <fill>
      <patternFill patternType="solid">
        <fgColor theme="8" tint="-0.249977111117893"/>
        <bgColor indexed="26"/>
      </patternFill>
    </fill>
    <fill>
      <patternFill patternType="solid">
        <fgColor rgb="FF00B0F0"/>
        <bgColor indexed="39"/>
      </patternFill>
    </fill>
    <fill>
      <patternFill patternType="solid">
        <fgColor theme="2"/>
        <bgColor indexed="64"/>
      </patternFill>
    </fill>
    <fill>
      <patternFill patternType="solid">
        <fgColor theme="0"/>
        <bgColor indexed="64"/>
      </patternFill>
    </fill>
    <fill>
      <patternFill patternType="solid">
        <fgColor theme="2"/>
        <bgColor indexed="41"/>
      </patternFill>
    </fill>
    <fill>
      <patternFill patternType="solid">
        <fgColor theme="4"/>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4" tint="-0.499984740745262"/>
        <bgColor indexed="64"/>
      </patternFill>
    </fill>
    <fill>
      <patternFill patternType="solid">
        <fgColor rgb="FFC00000"/>
        <bgColor indexed="64"/>
      </patternFill>
    </fill>
    <fill>
      <patternFill patternType="solid">
        <fgColor theme="3" tint="0.79998168889431442"/>
        <bgColor indexed="64"/>
      </patternFill>
    </fill>
    <fill>
      <patternFill patternType="solid">
        <fgColor rgb="FFFF6600"/>
        <bgColor indexed="64"/>
      </patternFill>
    </fill>
    <fill>
      <patternFill patternType="solid">
        <fgColor theme="2" tint="-0.249977111117893"/>
        <bgColor indexed="64"/>
      </patternFill>
    </fill>
    <fill>
      <patternFill patternType="solid">
        <fgColor theme="0"/>
        <bgColor indexed="26"/>
      </patternFill>
    </fill>
    <fill>
      <patternFill patternType="solid">
        <fgColor theme="8" tint="0.59999389629810485"/>
        <bgColor indexed="64"/>
      </patternFill>
    </fill>
    <fill>
      <patternFill patternType="solid">
        <fgColor rgb="FFFFCC99"/>
        <bgColor indexed="26"/>
      </patternFill>
    </fill>
    <fill>
      <patternFill patternType="solid">
        <fgColor rgb="FFFF0000"/>
        <bgColor indexed="26"/>
      </patternFill>
    </fill>
    <fill>
      <patternFill patternType="solid">
        <fgColor rgb="FFFFC000"/>
        <bgColor indexed="26"/>
      </patternFill>
    </fill>
    <fill>
      <patternFill patternType="solid">
        <fgColor theme="9" tint="0.39997558519241921"/>
        <bgColor indexed="26"/>
      </patternFill>
    </fill>
    <fill>
      <patternFill patternType="solid">
        <fgColor theme="6" tint="0.79998168889431442"/>
        <bgColor indexed="26"/>
      </patternFill>
    </fill>
    <fill>
      <patternFill patternType="solid">
        <fgColor rgb="FF0070C0"/>
        <bgColor indexed="26"/>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80">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theme="1" tint="0.34998626667073579"/>
      </left>
      <right style="thin">
        <color theme="1" tint="0.34998626667073579"/>
      </right>
      <top/>
      <bottom/>
      <diagonal/>
    </border>
    <border>
      <left style="thin">
        <color theme="1" tint="0.34998626667073579"/>
      </left>
      <right/>
      <top/>
      <bottom style="dotted">
        <color theme="1" tint="0.34998626667073579"/>
      </bottom>
      <diagonal/>
    </border>
    <border>
      <left style="thin">
        <color theme="1" tint="0.34998626667073579"/>
      </left>
      <right/>
      <top style="thin">
        <color indexed="64"/>
      </top>
      <bottom style="thin">
        <color indexed="64"/>
      </bottom>
      <diagonal/>
    </border>
    <border>
      <left style="thin">
        <color indexed="64"/>
      </left>
      <right style="thin">
        <color indexed="64"/>
      </right>
      <top style="dotted">
        <color theme="1" tint="0.34998626667073579"/>
      </top>
      <bottom style="dotted">
        <color theme="1" tint="0.34998626667073579"/>
      </bottom>
      <diagonal/>
    </border>
    <border>
      <left style="thin">
        <color theme="1" tint="0.34998626667073579"/>
      </left>
      <right style="thin">
        <color theme="1" tint="0.34998626667073579"/>
      </right>
      <top/>
      <bottom style="dotted">
        <color theme="1" tint="0.34998626667073579"/>
      </bottom>
      <diagonal/>
    </border>
    <border>
      <left style="thin">
        <color theme="1" tint="0.34998626667073579"/>
      </left>
      <right style="thin">
        <color indexed="64"/>
      </right>
      <top/>
      <bottom style="dotted">
        <color theme="1" tint="0.34998626667073579"/>
      </bottom>
      <diagonal/>
    </border>
    <border>
      <left style="thin">
        <color indexed="64"/>
      </left>
      <right style="thin">
        <color theme="1" tint="0.34998626667073579"/>
      </right>
      <top style="dotted">
        <color theme="1" tint="0.34998626667073579"/>
      </top>
      <bottom style="dotted">
        <color theme="1" tint="0.34998626667073579"/>
      </bottom>
      <diagonal/>
    </border>
    <border>
      <left/>
      <right/>
      <top/>
      <bottom style="thin">
        <color theme="1" tint="0.34998626667073579"/>
      </bottom>
      <diagonal/>
    </border>
    <border>
      <left/>
      <right/>
      <top style="thin">
        <color indexed="64"/>
      </top>
      <bottom/>
      <diagonal/>
    </border>
    <border>
      <left style="thin">
        <color theme="0"/>
      </left>
      <right style="thin">
        <color theme="0"/>
      </right>
      <top style="thin">
        <color indexed="8"/>
      </top>
      <bottom style="thin">
        <color theme="0"/>
      </bottom>
      <diagonal/>
    </border>
    <border>
      <left style="thin">
        <color auto="1"/>
      </left>
      <right style="thin">
        <color theme="0"/>
      </right>
      <top style="thin">
        <color theme="0"/>
      </top>
      <bottom style="thin">
        <color theme="1" tint="0.34998626667073579"/>
      </bottom>
      <diagonal/>
    </border>
    <border>
      <left style="thin">
        <color theme="0"/>
      </left>
      <right style="thin">
        <color theme="0"/>
      </right>
      <top style="thin">
        <color theme="0"/>
      </top>
      <bottom style="thin">
        <color theme="1" tint="0.34998626667073579"/>
      </bottom>
      <diagonal/>
    </border>
    <border>
      <left style="thin">
        <color theme="1" tint="0.499984740745262"/>
      </left>
      <right style="thin">
        <color indexed="64"/>
      </right>
      <top style="dotted">
        <color theme="1" tint="0.499984740745262"/>
      </top>
      <bottom style="dotted">
        <color theme="1" tint="0.499984740745262"/>
      </bottom>
      <diagonal/>
    </border>
    <border>
      <left style="thin">
        <color theme="1" tint="0.499984740745262"/>
      </left>
      <right style="thin">
        <color indexed="64"/>
      </right>
      <top style="dotted">
        <color theme="1" tint="0.499984740745262"/>
      </top>
      <bottom/>
      <diagonal/>
    </border>
    <border>
      <left style="thin">
        <color theme="1" tint="0.499984740745262"/>
      </left>
      <right style="thin">
        <color indexed="64"/>
      </right>
      <top style="thin">
        <color indexed="64"/>
      </top>
      <bottom style="thin">
        <color indexed="64"/>
      </bottom>
      <diagonal/>
    </border>
    <border>
      <left style="thin">
        <color indexed="64"/>
      </left>
      <right style="thin">
        <color indexed="64"/>
      </right>
      <top/>
      <bottom style="dotted">
        <color theme="1" tint="0.34998626667073579"/>
      </bottom>
      <diagonal/>
    </border>
    <border>
      <left style="thin">
        <color theme="1" tint="0.499984740745262"/>
      </left>
      <right style="thin">
        <color indexed="64"/>
      </right>
      <top/>
      <bottom style="dotted">
        <color theme="1" tint="0.499984740745262"/>
      </bottom>
      <diagonal/>
    </border>
    <border>
      <left style="thin">
        <color indexed="64"/>
      </left>
      <right style="thin">
        <color indexed="64"/>
      </right>
      <top style="dotted">
        <color theme="1" tint="0.34998626667073579"/>
      </top>
      <bottom style="thin">
        <color indexed="64"/>
      </bottom>
      <diagonal/>
    </border>
    <border>
      <left style="thin">
        <color theme="1" tint="0.499984740745262"/>
      </left>
      <right style="thin">
        <color indexed="64"/>
      </right>
      <top style="dotted">
        <color theme="1" tint="0.499984740745262"/>
      </top>
      <bottom style="thin">
        <color indexed="64"/>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
      <left style="thin">
        <color theme="1" tint="0.34998626667073579"/>
      </left>
      <right style="thin">
        <color theme="1" tint="0.34998626667073579"/>
      </right>
      <top/>
      <bottom style="thin">
        <color theme="1" tint="0.34998626667073579"/>
      </bottom>
      <diagonal/>
    </border>
    <border>
      <left/>
      <right/>
      <top/>
      <bottom style="thin">
        <color indexed="64"/>
      </bottom>
      <diagonal/>
    </border>
    <border>
      <left style="thin">
        <color theme="1" tint="0.34998626667073579"/>
      </left>
      <right/>
      <top/>
      <bottom/>
      <diagonal/>
    </border>
    <border>
      <left/>
      <right style="thin">
        <color indexed="64"/>
      </right>
      <top/>
      <bottom/>
      <diagonal/>
    </border>
    <border>
      <left/>
      <right style="thin">
        <color theme="0"/>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dotted">
        <color theme="1" tint="0.34998626667073579"/>
      </top>
      <bottom style="dotted">
        <color theme="1" tint="0.34998626667073579"/>
      </bottom>
      <diagonal/>
    </border>
    <border>
      <left/>
      <right/>
      <top style="thin">
        <color indexed="64"/>
      </top>
      <bottom style="thin">
        <color indexed="64"/>
      </bottom>
      <diagonal/>
    </border>
    <border>
      <left/>
      <right/>
      <top/>
      <bottom style="thin">
        <color theme="4" tint="0.39997558519241921"/>
      </bottom>
      <diagonal/>
    </border>
    <border>
      <left style="thin">
        <color indexed="64"/>
      </left>
      <right/>
      <top style="thin">
        <color indexed="64"/>
      </top>
      <bottom style="thin">
        <color indexed="64"/>
      </bottom>
      <diagonal/>
    </border>
    <border>
      <left style="thin">
        <color theme="0"/>
      </left>
      <right style="thin">
        <color theme="0"/>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1" tint="0.34998626667073579"/>
      </right>
      <top/>
      <bottom/>
      <diagonal/>
    </border>
    <border>
      <left style="thin">
        <color theme="1" tint="0.34998626667073579"/>
      </left>
      <right/>
      <top/>
      <bottom style="thin">
        <color theme="1" tint="0.34998626667073579"/>
      </bottom>
      <diagonal/>
    </border>
    <border>
      <left/>
      <right style="thin">
        <color theme="1" tint="0.34998626667073579"/>
      </right>
      <top/>
      <bottom style="thin">
        <color indexed="64"/>
      </bottom>
      <diagonal/>
    </border>
    <border>
      <left/>
      <right style="thin">
        <color theme="1" tint="0.34998626667073579"/>
      </right>
      <top style="thin">
        <color indexed="64"/>
      </top>
      <bottom style="thin">
        <color indexed="64"/>
      </bottom>
      <diagonal/>
    </border>
    <border>
      <left style="thin">
        <color theme="0"/>
      </left>
      <right style="thin">
        <color theme="0"/>
      </right>
      <top style="thin">
        <color theme="0"/>
      </top>
      <bottom style="thin">
        <color theme="0"/>
      </bottom>
      <diagonal/>
    </border>
    <border>
      <left/>
      <right style="thin">
        <color theme="1" tint="0.34998626667073579"/>
      </right>
      <top/>
      <bottom style="thin">
        <color theme="2" tint="-0.24994659260841701"/>
      </bottom>
      <diagonal/>
    </border>
    <border>
      <left/>
      <right style="thin">
        <color theme="1" tint="0.34998626667073579"/>
      </right>
      <top style="thin">
        <color theme="2" tint="-0.24994659260841701"/>
      </top>
      <bottom style="thin">
        <color theme="2" tint="-0.24994659260841701"/>
      </bottom>
      <diagonal/>
    </border>
    <border>
      <left/>
      <right style="thin">
        <color theme="1" tint="0.34998626667073579"/>
      </right>
      <top style="thin">
        <color theme="2" tint="-0.24994659260841701"/>
      </top>
      <bottom/>
      <diagonal/>
    </border>
    <border>
      <left style="thin">
        <color theme="0" tint="-0.34998626667073579"/>
      </left>
      <right style="thin">
        <color theme="0" tint="-0.34998626667073579"/>
      </right>
      <top style="thin">
        <color theme="0" tint="-0.34998626667073579"/>
      </top>
      <bottom style="dotted">
        <color theme="0" tint="-0.34998626667073579"/>
      </bottom>
      <diagonal/>
    </border>
    <border>
      <left style="thin">
        <color theme="0" tint="-0.34998626667073579"/>
      </left>
      <right style="thin">
        <color theme="0" tint="-0.34998626667073579"/>
      </right>
      <top style="dotted">
        <color theme="0" tint="-0.34998626667073579"/>
      </top>
      <bottom style="dotted">
        <color theme="0" tint="-0.34998626667073579"/>
      </bottom>
      <diagonal/>
    </border>
    <border>
      <left style="thin">
        <color theme="0" tint="-0.34998626667073579"/>
      </left>
      <right style="thin">
        <color theme="0" tint="-0.34998626667073579"/>
      </right>
      <top style="dotted">
        <color theme="0" tint="-0.34998626667073579"/>
      </top>
      <bottom style="thin">
        <color theme="0" tint="-0.34998626667073579"/>
      </bottom>
      <diagonal/>
    </border>
    <border>
      <left style="medium">
        <color indexed="64"/>
      </left>
      <right/>
      <top style="medium">
        <color indexed="64"/>
      </top>
      <bottom style="medium">
        <color indexed="64"/>
      </bottom>
      <diagonal/>
    </border>
    <border>
      <left style="thick">
        <color rgb="FFC00000"/>
      </left>
      <right style="thick">
        <color rgb="FFC00000"/>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theme="0"/>
      </right>
      <top style="thin">
        <color theme="1" tint="0.499984740745262"/>
      </top>
      <bottom style="double">
        <color indexed="64"/>
      </bottom>
      <diagonal/>
    </border>
    <border>
      <left style="thin">
        <color theme="1" tint="0.499984740745262"/>
      </left>
      <right/>
      <top/>
      <bottom/>
      <diagonal/>
    </border>
    <border>
      <left/>
      <right style="thin">
        <color theme="0" tint="-0.24994659260841701"/>
      </right>
      <top/>
      <bottom style="thin">
        <color theme="0" tint="-0.24994659260841701"/>
      </bottom>
      <diagonal/>
    </border>
    <border>
      <left style="thin">
        <color theme="1" tint="0.499984740745262"/>
      </left>
      <right/>
      <top style="thin">
        <color theme="0"/>
      </top>
      <bottom style="thin">
        <color theme="0"/>
      </bottom>
      <diagonal/>
    </border>
    <border>
      <left style="thin">
        <color theme="1" tint="0.499984740745262"/>
      </left>
      <right/>
      <top/>
      <bottom style="thin">
        <color theme="1" tint="0.499984740745262"/>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ck">
        <color rgb="FFC00000"/>
      </left>
      <right style="thick">
        <color rgb="FFC00000"/>
      </right>
      <top style="thick">
        <color rgb="FFC00000"/>
      </top>
      <bottom/>
      <diagonal/>
    </border>
    <border>
      <left style="thick">
        <color rgb="FFC00000"/>
      </left>
      <right style="thick">
        <color rgb="FFC00000"/>
      </right>
      <top style="thin">
        <color theme="0" tint="-0.24994659260841701"/>
      </top>
      <bottom style="thin">
        <color theme="0" tint="-0.24994659260841701"/>
      </bottom>
      <diagonal/>
    </border>
    <border>
      <left style="thick">
        <color rgb="FFC00000"/>
      </left>
      <right style="thick">
        <color rgb="FFC00000"/>
      </right>
      <top style="thin">
        <color theme="0" tint="-0.24994659260841701"/>
      </top>
      <bottom style="thick">
        <color rgb="FFC0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style="thin">
        <color theme="1" tint="0.34998626667073579"/>
      </right>
      <top style="dotted">
        <color theme="1" tint="0.34998626667073579"/>
      </top>
      <bottom style="dotted">
        <color theme="1" tint="0.34998626667073579"/>
      </bottom>
      <diagonal/>
    </border>
    <border>
      <left style="thin">
        <color theme="1" tint="0.34998626667073579"/>
      </left>
      <right style="thin">
        <color theme="1" tint="0.34998626667073579"/>
      </right>
      <top style="dotted">
        <color theme="1" tint="0.34998626667073579"/>
      </top>
      <bottom/>
      <diagonal/>
    </border>
    <border>
      <left/>
      <right style="thin">
        <color indexed="64"/>
      </right>
      <top style="dotted">
        <color theme="1" tint="0.34998626667073579"/>
      </top>
      <bottom/>
      <diagonal/>
    </border>
    <border>
      <left style="thin">
        <color indexed="64"/>
      </left>
      <right style="thin">
        <color theme="1" tint="0.34998626667073579"/>
      </right>
      <top style="dotted">
        <color theme="1" tint="0.34998626667073579"/>
      </top>
      <bottom/>
      <diagonal/>
    </border>
    <border>
      <left style="thin">
        <color theme="1" tint="0.34998626667073579"/>
      </left>
      <right style="thin">
        <color indexed="64"/>
      </right>
      <top/>
      <bottom/>
      <diagonal/>
    </border>
  </borders>
  <cellStyleXfs count="170">
    <xf numFmtId="0" fontId="0" fillId="0" borderId="0"/>
    <xf numFmtId="9" fontId="10" fillId="0" borderId="0" applyFont="0" applyFill="0" applyBorder="0" applyAlignment="0" applyProtection="0"/>
    <xf numFmtId="0" fontId="12" fillId="0" borderId="0"/>
    <xf numFmtId="0" fontId="9" fillId="0" borderId="0"/>
    <xf numFmtId="0" fontId="9" fillId="0" borderId="0"/>
    <xf numFmtId="0" fontId="9" fillId="0" borderId="0"/>
    <xf numFmtId="0" fontId="9" fillId="0" borderId="0"/>
    <xf numFmtId="0" fontId="8" fillId="0" borderId="0"/>
    <xf numFmtId="0" fontId="53" fillId="0" borderId="0" applyNumberFormat="0" applyFill="0" applyBorder="0" applyAlignment="0" applyProtection="0"/>
    <xf numFmtId="0" fontId="54" fillId="0" borderId="65" applyNumberFormat="0" applyFill="0" applyAlignment="0" applyProtection="0"/>
    <xf numFmtId="0" fontId="55" fillId="0" borderId="66" applyNumberFormat="0" applyFill="0" applyAlignment="0" applyProtection="0"/>
    <xf numFmtId="0" fontId="56" fillId="0" borderId="67" applyNumberFormat="0" applyFill="0" applyAlignment="0" applyProtection="0"/>
    <xf numFmtId="0" fontId="56" fillId="0" borderId="0" applyNumberFormat="0" applyFill="0" applyBorder="0" applyAlignment="0" applyProtection="0"/>
    <xf numFmtId="0" fontId="57" fillId="32" borderId="0" applyNumberFormat="0" applyBorder="0" applyAlignment="0" applyProtection="0"/>
    <xf numFmtId="0" fontId="58" fillId="33" borderId="0" applyNumberFormat="0" applyBorder="0" applyAlignment="0" applyProtection="0"/>
    <xf numFmtId="0" fontId="59" fillId="34" borderId="0" applyNumberFormat="0" applyBorder="0" applyAlignment="0" applyProtection="0"/>
    <xf numFmtId="0" fontId="60" fillId="35" borderId="68" applyNumberFormat="0" applyAlignment="0" applyProtection="0"/>
    <xf numFmtId="0" fontId="61" fillId="36" borderId="69" applyNumberFormat="0" applyAlignment="0" applyProtection="0"/>
    <xf numFmtId="0" fontId="62" fillId="36" borderId="68" applyNumberFormat="0" applyAlignment="0" applyProtection="0"/>
    <xf numFmtId="0" fontId="63" fillId="0" borderId="70" applyNumberFormat="0" applyFill="0" applyAlignment="0" applyProtection="0"/>
    <xf numFmtId="0" fontId="64" fillId="37" borderId="71" applyNumberFormat="0" applyAlignment="0" applyProtection="0"/>
    <xf numFmtId="0" fontId="41" fillId="0" borderId="0" applyNumberFormat="0" applyFill="0" applyBorder="0" applyAlignment="0" applyProtection="0"/>
    <xf numFmtId="0" fontId="65" fillId="0" borderId="0" applyNumberFormat="0" applyFill="0" applyBorder="0" applyAlignment="0" applyProtection="0"/>
    <xf numFmtId="0" fontId="25" fillId="0" borderId="73" applyNumberFormat="0" applyFill="0" applyAlignment="0" applyProtection="0"/>
    <xf numFmtId="0" fontId="66" fillId="39" borderId="0" applyNumberFormat="0" applyBorder="0" applyAlignment="0" applyProtection="0"/>
    <xf numFmtId="0" fontId="7" fillId="40" borderId="0" applyNumberFormat="0" applyBorder="0" applyAlignment="0" applyProtection="0"/>
    <xf numFmtId="0" fontId="7" fillId="41" borderId="0" applyNumberFormat="0" applyBorder="0" applyAlignment="0" applyProtection="0"/>
    <xf numFmtId="0" fontId="7" fillId="42" borderId="0" applyNumberFormat="0" applyBorder="0" applyAlignment="0" applyProtection="0"/>
    <xf numFmtId="0" fontId="66" fillId="43" borderId="0" applyNumberFormat="0" applyBorder="0" applyAlignment="0" applyProtection="0"/>
    <xf numFmtId="0" fontId="7" fillId="44" borderId="0" applyNumberFormat="0" applyBorder="0" applyAlignment="0" applyProtection="0"/>
    <xf numFmtId="0" fontId="7" fillId="45" borderId="0" applyNumberFormat="0" applyBorder="0" applyAlignment="0" applyProtection="0"/>
    <xf numFmtId="0" fontId="7" fillId="46" borderId="0" applyNumberFormat="0" applyBorder="0" applyAlignment="0" applyProtection="0"/>
    <xf numFmtId="0" fontId="66" fillId="47" borderId="0" applyNumberFormat="0" applyBorder="0" applyAlignment="0" applyProtection="0"/>
    <xf numFmtId="0" fontId="7" fillId="48" borderId="0" applyNumberFormat="0" applyBorder="0" applyAlignment="0" applyProtection="0"/>
    <xf numFmtId="0" fontId="7" fillId="49" borderId="0" applyNumberFormat="0" applyBorder="0" applyAlignment="0" applyProtection="0"/>
    <xf numFmtId="0" fontId="7" fillId="50" borderId="0" applyNumberFormat="0" applyBorder="0" applyAlignment="0" applyProtection="0"/>
    <xf numFmtId="0" fontId="66" fillId="51" borderId="0" applyNumberFormat="0" applyBorder="0" applyAlignment="0" applyProtection="0"/>
    <xf numFmtId="0" fontId="7" fillId="52" borderId="0" applyNumberFormat="0" applyBorder="0" applyAlignment="0" applyProtection="0"/>
    <xf numFmtId="0" fontId="7" fillId="53" borderId="0" applyNumberFormat="0" applyBorder="0" applyAlignment="0" applyProtection="0"/>
    <xf numFmtId="0" fontId="7" fillId="54" borderId="0" applyNumberFormat="0" applyBorder="0" applyAlignment="0" applyProtection="0"/>
    <xf numFmtId="0" fontId="66" fillId="55" borderId="0" applyNumberFormat="0" applyBorder="0" applyAlignment="0" applyProtection="0"/>
    <xf numFmtId="0" fontId="7" fillId="56" borderId="0" applyNumberFormat="0" applyBorder="0" applyAlignment="0" applyProtection="0"/>
    <xf numFmtId="0" fontId="7" fillId="57" borderId="0" applyNumberFormat="0" applyBorder="0" applyAlignment="0" applyProtection="0"/>
    <xf numFmtId="0" fontId="7" fillId="58" borderId="0" applyNumberFormat="0" applyBorder="0" applyAlignment="0" applyProtection="0"/>
    <xf numFmtId="0" fontId="66" fillId="59" borderId="0" applyNumberFormat="0" applyBorder="0" applyAlignment="0" applyProtection="0"/>
    <xf numFmtId="0" fontId="7" fillId="60" borderId="0" applyNumberFormat="0" applyBorder="0" applyAlignment="0" applyProtection="0"/>
    <xf numFmtId="0" fontId="7" fillId="61" borderId="0" applyNumberFormat="0" applyBorder="0" applyAlignment="0" applyProtection="0"/>
    <xf numFmtId="0" fontId="7" fillId="62" borderId="0" applyNumberFormat="0" applyBorder="0" applyAlignment="0" applyProtection="0"/>
    <xf numFmtId="0" fontId="7" fillId="0" borderId="0"/>
    <xf numFmtId="0" fontId="7" fillId="38" borderId="72" applyNumberFormat="0" applyFont="0" applyAlignment="0" applyProtection="0"/>
    <xf numFmtId="0" fontId="6" fillId="0" borderId="0"/>
    <xf numFmtId="0" fontId="6" fillId="38" borderId="72" applyNumberFormat="0" applyFont="0" applyAlignment="0" applyProtection="0"/>
    <xf numFmtId="0" fontId="6" fillId="40" borderId="0" applyNumberFormat="0" applyBorder="0" applyAlignment="0" applyProtection="0"/>
    <xf numFmtId="0" fontId="6" fillId="41" borderId="0" applyNumberFormat="0" applyBorder="0" applyAlignment="0" applyProtection="0"/>
    <xf numFmtId="0" fontId="6" fillId="42" borderId="0" applyNumberFormat="0" applyBorder="0" applyAlignment="0" applyProtection="0"/>
    <xf numFmtId="0" fontId="6" fillId="44"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48" borderId="0" applyNumberFormat="0" applyBorder="0" applyAlignment="0" applyProtection="0"/>
    <xf numFmtId="0" fontId="6" fillId="49" borderId="0" applyNumberFormat="0" applyBorder="0" applyAlignment="0" applyProtection="0"/>
    <xf numFmtId="0" fontId="6" fillId="50" borderId="0" applyNumberFormat="0" applyBorder="0" applyAlignment="0" applyProtection="0"/>
    <xf numFmtId="0" fontId="6" fillId="52" borderId="0" applyNumberFormat="0" applyBorder="0" applyAlignment="0" applyProtection="0"/>
    <xf numFmtId="0" fontId="6" fillId="53" borderId="0" applyNumberFormat="0" applyBorder="0" applyAlignment="0" applyProtection="0"/>
    <xf numFmtId="0" fontId="6" fillId="54" borderId="0" applyNumberFormat="0" applyBorder="0" applyAlignment="0" applyProtection="0"/>
    <xf numFmtId="0" fontId="6" fillId="56" borderId="0" applyNumberFormat="0" applyBorder="0" applyAlignment="0" applyProtection="0"/>
    <xf numFmtId="0" fontId="6" fillId="57" borderId="0" applyNumberFormat="0" applyBorder="0" applyAlignment="0" applyProtection="0"/>
    <xf numFmtId="0" fontId="6" fillId="58" borderId="0" applyNumberFormat="0" applyBorder="0" applyAlignment="0" applyProtection="0"/>
    <xf numFmtId="0" fontId="6" fillId="60" borderId="0" applyNumberFormat="0" applyBorder="0" applyAlignment="0" applyProtection="0"/>
    <xf numFmtId="0" fontId="6" fillId="61" borderId="0" applyNumberFormat="0" applyBorder="0" applyAlignment="0" applyProtection="0"/>
    <xf numFmtId="0" fontId="6" fillId="62" borderId="0" applyNumberFormat="0" applyBorder="0" applyAlignment="0" applyProtection="0"/>
    <xf numFmtId="0" fontId="5" fillId="0" borderId="0"/>
    <xf numFmtId="0" fontId="5" fillId="38" borderId="72" applyNumberFormat="0" applyFont="0" applyAlignment="0" applyProtection="0"/>
    <xf numFmtId="0" fontId="5" fillId="40" borderId="0" applyNumberFormat="0" applyBorder="0" applyAlignment="0" applyProtection="0"/>
    <xf numFmtId="0" fontId="5" fillId="41" borderId="0" applyNumberFormat="0" applyBorder="0" applyAlignment="0" applyProtection="0"/>
    <xf numFmtId="0" fontId="5" fillId="42" borderId="0" applyNumberFormat="0" applyBorder="0" applyAlignment="0" applyProtection="0"/>
    <xf numFmtId="0" fontId="5" fillId="44" borderId="0" applyNumberFormat="0" applyBorder="0" applyAlignment="0" applyProtection="0"/>
    <xf numFmtId="0" fontId="5" fillId="45" borderId="0" applyNumberFormat="0" applyBorder="0" applyAlignment="0" applyProtection="0"/>
    <xf numFmtId="0" fontId="5" fillId="46" borderId="0" applyNumberFormat="0" applyBorder="0" applyAlignment="0" applyProtection="0"/>
    <xf numFmtId="0" fontId="5" fillId="48" borderId="0" applyNumberFormat="0" applyBorder="0" applyAlignment="0" applyProtection="0"/>
    <xf numFmtId="0" fontId="5" fillId="49" borderId="0" applyNumberFormat="0" applyBorder="0" applyAlignment="0" applyProtection="0"/>
    <xf numFmtId="0" fontId="5" fillId="50" borderId="0" applyNumberFormat="0" applyBorder="0" applyAlignment="0" applyProtection="0"/>
    <xf numFmtId="0" fontId="5" fillId="52" borderId="0" applyNumberFormat="0" applyBorder="0" applyAlignment="0" applyProtection="0"/>
    <xf numFmtId="0" fontId="5" fillId="53" borderId="0" applyNumberFormat="0" applyBorder="0" applyAlignment="0" applyProtection="0"/>
    <xf numFmtId="0" fontId="5" fillId="54" borderId="0" applyNumberFormat="0" applyBorder="0" applyAlignment="0" applyProtection="0"/>
    <xf numFmtId="0" fontId="5" fillId="56" borderId="0" applyNumberFormat="0" applyBorder="0" applyAlignment="0" applyProtection="0"/>
    <xf numFmtId="0" fontId="5" fillId="57" borderId="0" applyNumberFormat="0" applyBorder="0" applyAlignment="0" applyProtection="0"/>
    <xf numFmtId="0" fontId="5" fillId="58" borderId="0" applyNumberFormat="0" applyBorder="0" applyAlignment="0" applyProtection="0"/>
    <xf numFmtId="0" fontId="5" fillId="60" borderId="0" applyNumberFormat="0" applyBorder="0" applyAlignment="0" applyProtection="0"/>
    <xf numFmtId="0" fontId="5" fillId="61" borderId="0" applyNumberFormat="0" applyBorder="0" applyAlignment="0" applyProtection="0"/>
    <xf numFmtId="0" fontId="5" fillId="62" borderId="0" applyNumberFormat="0" applyBorder="0" applyAlignment="0" applyProtection="0"/>
    <xf numFmtId="0" fontId="4" fillId="0" borderId="0"/>
    <xf numFmtId="0" fontId="4" fillId="38" borderId="72" applyNumberFormat="0" applyFont="0" applyAlignment="0" applyProtection="0"/>
    <xf numFmtId="0" fontId="4" fillId="40" borderId="0" applyNumberFormat="0" applyBorder="0" applyAlignment="0" applyProtection="0"/>
    <xf numFmtId="0" fontId="4" fillId="41" borderId="0" applyNumberFormat="0" applyBorder="0" applyAlignment="0" applyProtection="0"/>
    <xf numFmtId="0" fontId="4" fillId="42" borderId="0" applyNumberFormat="0" applyBorder="0" applyAlignment="0" applyProtection="0"/>
    <xf numFmtId="0" fontId="4" fillId="44" borderId="0" applyNumberFormat="0" applyBorder="0" applyAlignment="0" applyProtection="0"/>
    <xf numFmtId="0" fontId="4" fillId="45" borderId="0" applyNumberFormat="0" applyBorder="0" applyAlignment="0" applyProtection="0"/>
    <xf numFmtId="0" fontId="4" fillId="46" borderId="0" applyNumberFormat="0" applyBorder="0" applyAlignment="0" applyProtection="0"/>
    <xf numFmtId="0" fontId="4" fillId="48" borderId="0" applyNumberFormat="0" applyBorder="0" applyAlignment="0" applyProtection="0"/>
    <xf numFmtId="0" fontId="4" fillId="49" borderId="0" applyNumberFormat="0" applyBorder="0" applyAlignment="0" applyProtection="0"/>
    <xf numFmtId="0" fontId="4" fillId="50" borderId="0" applyNumberFormat="0" applyBorder="0" applyAlignment="0" applyProtection="0"/>
    <xf numFmtId="0" fontId="4" fillId="52" borderId="0" applyNumberFormat="0" applyBorder="0" applyAlignment="0" applyProtection="0"/>
    <xf numFmtId="0" fontId="4" fillId="53" borderId="0" applyNumberFormat="0" applyBorder="0" applyAlignment="0" applyProtection="0"/>
    <xf numFmtId="0" fontId="4" fillId="54" borderId="0" applyNumberFormat="0" applyBorder="0" applyAlignment="0" applyProtection="0"/>
    <xf numFmtId="0" fontId="4" fillId="56" borderId="0" applyNumberFormat="0" applyBorder="0" applyAlignment="0" applyProtection="0"/>
    <xf numFmtId="0" fontId="4" fillId="57" borderId="0" applyNumberFormat="0" applyBorder="0" applyAlignment="0" applyProtection="0"/>
    <xf numFmtId="0" fontId="4" fillId="58" borderId="0" applyNumberFormat="0" applyBorder="0" applyAlignment="0" applyProtection="0"/>
    <xf numFmtId="0" fontId="4" fillId="60" borderId="0" applyNumberFormat="0" applyBorder="0" applyAlignment="0" applyProtection="0"/>
    <xf numFmtId="0" fontId="4" fillId="61" borderId="0" applyNumberFormat="0" applyBorder="0" applyAlignment="0" applyProtection="0"/>
    <xf numFmtId="0" fontId="4" fillId="62" borderId="0" applyNumberFormat="0" applyBorder="0" applyAlignment="0" applyProtection="0"/>
    <xf numFmtId="0" fontId="3" fillId="0" borderId="0"/>
    <xf numFmtId="0" fontId="3" fillId="38" borderId="72" applyNumberFormat="0" applyFont="0" applyAlignment="0" applyProtection="0"/>
    <xf numFmtId="0" fontId="3" fillId="40" borderId="0" applyNumberFormat="0" applyBorder="0" applyAlignment="0" applyProtection="0"/>
    <xf numFmtId="0" fontId="3" fillId="41" borderId="0" applyNumberFormat="0" applyBorder="0" applyAlignment="0" applyProtection="0"/>
    <xf numFmtId="0" fontId="3" fillId="42" borderId="0" applyNumberFormat="0" applyBorder="0" applyAlignment="0" applyProtection="0"/>
    <xf numFmtId="0" fontId="3" fillId="44" borderId="0" applyNumberFormat="0" applyBorder="0" applyAlignment="0" applyProtection="0"/>
    <xf numFmtId="0" fontId="3" fillId="45" borderId="0" applyNumberFormat="0" applyBorder="0" applyAlignment="0" applyProtection="0"/>
    <xf numFmtId="0" fontId="3" fillId="46" borderId="0" applyNumberFormat="0" applyBorder="0" applyAlignment="0" applyProtection="0"/>
    <xf numFmtId="0" fontId="3" fillId="48" borderId="0" applyNumberFormat="0" applyBorder="0" applyAlignment="0" applyProtection="0"/>
    <xf numFmtId="0" fontId="3" fillId="49" borderId="0" applyNumberFormat="0" applyBorder="0" applyAlignment="0" applyProtection="0"/>
    <xf numFmtId="0" fontId="3" fillId="50"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4"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8" borderId="0" applyNumberFormat="0" applyBorder="0" applyAlignment="0" applyProtection="0"/>
    <xf numFmtId="0" fontId="3" fillId="60" borderId="0" applyNumberFormat="0" applyBorder="0" applyAlignment="0" applyProtection="0"/>
    <xf numFmtId="0" fontId="3" fillId="61" borderId="0" applyNumberFormat="0" applyBorder="0" applyAlignment="0" applyProtection="0"/>
    <xf numFmtId="0" fontId="3" fillId="62" borderId="0" applyNumberFormat="0" applyBorder="0" applyAlignment="0" applyProtection="0"/>
    <xf numFmtId="0" fontId="2" fillId="0" borderId="0"/>
    <xf numFmtId="0" fontId="2" fillId="38" borderId="72" applyNumberFormat="0" applyFont="0" applyAlignment="0" applyProtection="0"/>
    <xf numFmtId="0" fontId="2" fillId="40"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2" fillId="46"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2" fillId="50"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2" fillId="54" borderId="0" applyNumberFormat="0" applyBorder="0" applyAlignment="0" applyProtection="0"/>
    <xf numFmtId="0" fontId="2" fillId="56" borderId="0" applyNumberFormat="0" applyBorder="0" applyAlignment="0" applyProtection="0"/>
    <xf numFmtId="0" fontId="2" fillId="57" borderId="0" applyNumberFormat="0" applyBorder="0" applyAlignment="0" applyProtection="0"/>
    <xf numFmtId="0" fontId="2" fillId="58" borderId="0" applyNumberFormat="0" applyBorder="0" applyAlignment="0" applyProtection="0"/>
    <xf numFmtId="0" fontId="2" fillId="60" borderId="0" applyNumberFormat="0" applyBorder="0" applyAlignment="0" applyProtection="0"/>
    <xf numFmtId="0" fontId="2" fillId="61" borderId="0" applyNumberFormat="0" applyBorder="0" applyAlignment="0" applyProtection="0"/>
    <xf numFmtId="0" fontId="2" fillId="62" borderId="0" applyNumberFormat="0" applyBorder="0" applyAlignment="0" applyProtection="0"/>
    <xf numFmtId="0" fontId="1" fillId="0" borderId="0"/>
    <xf numFmtId="0" fontId="1" fillId="38" borderId="72" applyNumberFormat="0" applyFont="0" applyAlignment="0" applyProtection="0"/>
    <xf numFmtId="0" fontId="1" fillId="40" borderId="0" applyNumberFormat="0" applyBorder="0" applyAlignment="0" applyProtection="0"/>
    <xf numFmtId="0" fontId="1" fillId="41" borderId="0" applyNumberFormat="0" applyBorder="0" applyAlignment="0" applyProtection="0"/>
    <xf numFmtId="0" fontId="1" fillId="42"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1" fillId="46"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1" fillId="50" borderId="0" applyNumberFormat="0" applyBorder="0" applyAlignment="0" applyProtection="0"/>
    <xf numFmtId="0" fontId="1" fillId="52" borderId="0" applyNumberFormat="0" applyBorder="0" applyAlignment="0" applyProtection="0"/>
    <xf numFmtId="0" fontId="1" fillId="53" borderId="0" applyNumberFormat="0" applyBorder="0" applyAlignment="0" applyProtection="0"/>
    <xf numFmtId="0" fontId="1" fillId="54" borderId="0" applyNumberFormat="0" applyBorder="0" applyAlignment="0" applyProtection="0"/>
    <xf numFmtId="0" fontId="1" fillId="56"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1" fillId="60"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cellStyleXfs>
  <cellXfs count="152">
    <xf numFmtId="0" fontId="0" fillId="0" borderId="0" xfId="0"/>
    <xf numFmtId="0" fontId="0" fillId="0" borderId="0" xfId="0" applyAlignment="1">
      <alignment vertical="center"/>
    </xf>
    <xf numFmtId="0" fontId="21" fillId="0" borderId="0" xfId="0" applyFont="1" applyAlignment="1">
      <alignment horizontal="center" vertical="center" wrapText="1"/>
    </xf>
    <xf numFmtId="0" fontId="20" fillId="7" borderId="13" xfId="2" applyFont="1" applyFill="1" applyBorder="1" applyAlignment="1">
      <alignment horizontal="center" vertical="center" wrapText="1"/>
    </xf>
    <xf numFmtId="0" fontId="20" fillId="7" borderId="14" xfId="2" applyFont="1" applyFill="1" applyBorder="1" applyAlignment="1">
      <alignment horizontal="center" vertical="center" wrapText="1"/>
    </xf>
    <xf numFmtId="0" fontId="22" fillId="0" borderId="0" xfId="0" applyFont="1"/>
    <xf numFmtId="164" fontId="18" fillId="8" borderId="3" xfId="2" applyNumberFormat="1" applyFont="1" applyFill="1" applyBorder="1" applyAlignment="1">
      <alignment horizontal="center" vertical="center" wrapText="1"/>
    </xf>
    <xf numFmtId="14" fontId="17" fillId="11" borderId="24" xfId="2" applyNumberFormat="1" applyFont="1" applyFill="1" applyBorder="1" applyAlignment="1">
      <alignment horizontal="center" vertical="center" wrapText="1"/>
    </xf>
    <xf numFmtId="164" fontId="18" fillId="8" borderId="24" xfId="2" applyNumberFormat="1" applyFont="1" applyFill="1" applyBorder="1" applyAlignment="1">
      <alignment horizontal="center" vertical="center" wrapText="1"/>
    </xf>
    <xf numFmtId="0" fontId="0" fillId="5" borderId="0" xfId="0" applyFill="1"/>
    <xf numFmtId="0" fontId="19" fillId="0" borderId="0" xfId="0" applyFont="1" applyAlignment="1">
      <alignment horizontal="right"/>
    </xf>
    <xf numFmtId="0" fontId="0" fillId="0" borderId="0" xfId="0" applyAlignment="1">
      <alignment horizontal="center"/>
    </xf>
    <xf numFmtId="0" fontId="32" fillId="0" borderId="0" xfId="0" applyFont="1" applyAlignment="1">
      <alignment horizontal="left"/>
    </xf>
    <xf numFmtId="0" fontId="0" fillId="17" borderId="0" xfId="0" applyFill="1" applyAlignment="1">
      <alignment horizontal="left"/>
    </xf>
    <xf numFmtId="0" fontId="0" fillId="4" borderId="0" xfId="0" applyFill="1" applyAlignment="1">
      <alignment horizontal="left"/>
    </xf>
    <xf numFmtId="0" fontId="0" fillId="0" borderId="0" xfId="0" pivotButton="1"/>
    <xf numFmtId="0" fontId="0" fillId="0" borderId="0" xfId="0" pivotButton="1" applyAlignment="1">
      <alignment horizontal="center"/>
    </xf>
    <xf numFmtId="0" fontId="35" fillId="9" borderId="0" xfId="0" applyFont="1" applyFill="1" applyAlignment="1">
      <alignment horizontal="center" vertical="center"/>
    </xf>
    <xf numFmtId="0" fontId="35" fillId="9" borderId="0" xfId="0" applyFont="1" applyFill="1" applyAlignment="1">
      <alignment horizontal="center" vertical="center" wrapText="1"/>
    </xf>
    <xf numFmtId="0" fontId="32" fillId="18" borderId="23" xfId="0" applyFont="1" applyFill="1" applyBorder="1" applyAlignment="1">
      <alignment horizontal="left"/>
    </xf>
    <xf numFmtId="0" fontId="32" fillId="18" borderId="23" xfId="0" applyFont="1" applyFill="1" applyBorder="1" applyAlignment="1">
      <alignment horizontal="center"/>
    </xf>
    <xf numFmtId="0" fontId="32" fillId="0" borderId="0" xfId="0" applyFont="1" applyAlignment="1">
      <alignment horizontal="center"/>
    </xf>
    <xf numFmtId="0" fontId="32" fillId="0" borderId="22" xfId="0" applyFont="1" applyBorder="1" applyAlignment="1">
      <alignment horizontal="center"/>
    </xf>
    <xf numFmtId="0" fontId="8" fillId="0" borderId="0" xfId="7"/>
    <xf numFmtId="0" fontId="37" fillId="0" borderId="39" xfId="7" applyFont="1" applyBorder="1" applyAlignment="1">
      <alignment horizontal="center" vertical="center" wrapText="1" readingOrder="1"/>
    </xf>
    <xf numFmtId="0" fontId="34" fillId="18" borderId="36" xfId="0" applyFont="1" applyFill="1" applyBorder="1" applyAlignment="1">
      <alignment horizontal="center"/>
    </xf>
    <xf numFmtId="0" fontId="26" fillId="0" borderId="26" xfId="0" applyFont="1" applyBorder="1"/>
    <xf numFmtId="0" fontId="26" fillId="0" borderId="0" xfId="0" applyFont="1"/>
    <xf numFmtId="0" fontId="33" fillId="15" borderId="26" xfId="0" applyFont="1" applyFill="1" applyBorder="1"/>
    <xf numFmtId="0" fontId="33" fillId="15" borderId="0" xfId="0" applyFont="1" applyFill="1"/>
    <xf numFmtId="0" fontId="27" fillId="0" borderId="0" xfId="0" applyFont="1"/>
    <xf numFmtId="0" fontId="26" fillId="6" borderId="26" xfId="0" applyFont="1" applyFill="1" applyBorder="1"/>
    <xf numFmtId="0" fontId="26" fillId="6" borderId="0" xfId="0" applyFont="1" applyFill="1"/>
    <xf numFmtId="0" fontId="33" fillId="20" borderId="5" xfId="0" applyFont="1" applyFill="1" applyBorder="1"/>
    <xf numFmtId="0" fontId="33" fillId="20" borderId="35" xfId="0" applyFont="1" applyFill="1" applyBorder="1"/>
    <xf numFmtId="0" fontId="22" fillId="0" borderId="31" xfId="0" applyFont="1" applyBorder="1" applyAlignment="1">
      <alignment horizontal="right"/>
    </xf>
    <xf numFmtId="9" fontId="27" fillId="0" borderId="0" xfId="1" applyFont="1" applyBorder="1"/>
    <xf numFmtId="9" fontId="27" fillId="0" borderId="27" xfId="1" applyFont="1" applyBorder="1"/>
    <xf numFmtId="0" fontId="23" fillId="0" borderId="31" xfId="0" applyFont="1" applyBorder="1" applyAlignment="1">
      <alignment horizontal="right"/>
    </xf>
    <xf numFmtId="0" fontId="23" fillId="0" borderId="0" xfId="0" applyFont="1"/>
    <xf numFmtId="0" fontId="23" fillId="0" borderId="27" xfId="0" applyFont="1" applyBorder="1"/>
    <xf numFmtId="0" fontId="23" fillId="0" borderId="32" xfId="0" applyFont="1" applyBorder="1" applyAlignment="1">
      <alignment horizontal="right"/>
    </xf>
    <xf numFmtId="9" fontId="22" fillId="5" borderId="25" xfId="1" applyFont="1" applyFill="1" applyBorder="1"/>
    <xf numFmtId="9" fontId="29" fillId="5" borderId="25" xfId="1" applyFont="1" applyFill="1" applyBorder="1"/>
    <xf numFmtId="9" fontId="22" fillId="5" borderId="33" xfId="1" applyFont="1" applyFill="1" applyBorder="1"/>
    <xf numFmtId="0" fontId="22" fillId="0" borderId="29" xfId="0" applyFont="1" applyBorder="1" applyAlignment="1">
      <alignment horizontal="right"/>
    </xf>
    <xf numFmtId="9" fontId="30" fillId="5" borderId="11" xfId="1" applyFont="1" applyFill="1" applyBorder="1"/>
    <xf numFmtId="9" fontId="30" fillId="5" borderId="30" xfId="1" applyFont="1" applyFill="1" applyBorder="1"/>
    <xf numFmtId="0" fontId="22" fillId="0" borderId="37" xfId="0" applyFont="1" applyBorder="1" applyAlignment="1">
      <alignment horizontal="right"/>
    </xf>
    <xf numFmtId="9" fontId="31" fillId="5" borderId="35" xfId="1" applyFont="1" applyFill="1" applyBorder="1"/>
    <xf numFmtId="9" fontId="31" fillId="5" borderId="1" xfId="1" applyFont="1" applyFill="1" applyBorder="1"/>
    <xf numFmtId="0" fontId="23" fillId="0" borderId="37" xfId="0" applyFont="1" applyBorder="1" applyAlignment="1">
      <alignment horizontal="right"/>
    </xf>
    <xf numFmtId="0" fontId="23" fillId="12" borderId="35" xfId="0" applyFont="1" applyFill="1" applyBorder="1"/>
    <xf numFmtId="0" fontId="23" fillId="12" borderId="1" xfId="0" applyFont="1" applyFill="1" applyBorder="1"/>
    <xf numFmtId="9" fontId="30" fillId="5" borderId="29" xfId="1" applyFont="1" applyFill="1" applyBorder="1"/>
    <xf numFmtId="9" fontId="31" fillId="5" borderId="37" xfId="1" applyFont="1" applyFill="1" applyBorder="1"/>
    <xf numFmtId="0" fontId="23" fillId="0" borderId="31" xfId="0" applyFont="1" applyBorder="1"/>
    <xf numFmtId="0" fontId="23" fillId="12" borderId="37" xfId="0" applyFont="1" applyFill="1" applyBorder="1"/>
    <xf numFmtId="9" fontId="22" fillId="5" borderId="32" xfId="1" applyFont="1" applyFill="1" applyBorder="1"/>
    <xf numFmtId="0" fontId="36" fillId="3" borderId="38" xfId="7" applyFont="1" applyFill="1" applyBorder="1" applyAlignment="1">
      <alignment horizontal="left" vertical="center" wrapText="1" readingOrder="1"/>
    </xf>
    <xf numFmtId="0" fontId="36" fillId="3" borderId="44" xfId="7" applyFont="1" applyFill="1" applyBorder="1" applyAlignment="1">
      <alignment horizontal="left" vertical="center" wrapText="1" readingOrder="1"/>
    </xf>
    <xf numFmtId="0" fontId="8" fillId="0" borderId="0" xfId="7" applyAlignment="1">
      <alignment horizontal="right"/>
    </xf>
    <xf numFmtId="0" fontId="27" fillId="16" borderId="42" xfId="0" applyFont="1" applyFill="1" applyBorder="1"/>
    <xf numFmtId="165" fontId="24" fillId="16" borderId="41" xfId="0" applyNumberFormat="1" applyFont="1" applyFill="1" applyBorder="1" applyAlignment="1">
      <alignment horizontal="center"/>
    </xf>
    <xf numFmtId="165" fontId="24" fillId="16" borderId="10" xfId="0" applyNumberFormat="1" applyFont="1" applyFill="1" applyBorder="1" applyAlignment="1">
      <alignment horizontal="center"/>
    </xf>
    <xf numFmtId="9" fontId="27" fillId="0" borderId="26" xfId="1" applyFont="1" applyBorder="1"/>
    <xf numFmtId="0" fontId="22" fillId="0" borderId="45" xfId="0" applyFont="1" applyBorder="1" applyAlignment="1">
      <alignment horizontal="right"/>
    </xf>
    <xf numFmtId="0" fontId="28" fillId="15" borderId="46" xfId="0" applyFont="1" applyFill="1" applyBorder="1" applyAlignment="1">
      <alignment horizontal="right"/>
    </xf>
    <xf numFmtId="0" fontId="22" fillId="0" borderId="46" xfId="0" applyFont="1" applyBorder="1" applyAlignment="1">
      <alignment horizontal="right"/>
    </xf>
    <xf numFmtId="0" fontId="22" fillId="6" borderId="47" xfId="0" applyFont="1" applyFill="1" applyBorder="1" applyAlignment="1">
      <alignment horizontal="right"/>
    </xf>
    <xf numFmtId="0" fontId="38" fillId="20" borderId="43" xfId="0" applyFont="1" applyFill="1" applyBorder="1" applyAlignment="1">
      <alignment horizontal="right"/>
    </xf>
    <xf numFmtId="0" fontId="22" fillId="0" borderId="40" xfId="0" applyFont="1" applyBorder="1" applyAlignment="1">
      <alignment horizontal="right"/>
    </xf>
    <xf numFmtId="0" fontId="25" fillId="0" borderId="0" xfId="7" applyFont="1"/>
    <xf numFmtId="0" fontId="39" fillId="0" borderId="6" xfId="0" applyFont="1" applyBorder="1" applyAlignment="1">
      <alignment horizontal="right" vertical="center" indent="1"/>
    </xf>
    <xf numFmtId="0" fontId="39" fillId="0" borderId="18" xfId="0" applyFont="1" applyBorder="1" applyAlignment="1">
      <alignment horizontal="right" vertical="center" indent="1"/>
    </xf>
    <xf numFmtId="0" fontId="39" fillId="0" borderId="20" xfId="0" applyFont="1" applyBorder="1" applyAlignment="1">
      <alignment horizontal="right" vertical="center" indent="1"/>
    </xf>
    <xf numFmtId="0" fontId="19" fillId="21" borderId="0" xfId="0" applyFont="1" applyFill="1" applyAlignment="1">
      <alignment horizontal="center"/>
    </xf>
    <xf numFmtId="0" fontId="36" fillId="19" borderId="48" xfId="7" applyFont="1" applyFill="1" applyBorder="1" applyAlignment="1">
      <alignment horizontal="center" vertical="center" wrapText="1" readingOrder="1"/>
    </xf>
    <xf numFmtId="0" fontId="8" fillId="0" borderId="49" xfId="7" applyBorder="1"/>
    <xf numFmtId="0" fontId="37" fillId="0" borderId="49" xfId="7" applyFont="1" applyBorder="1" applyAlignment="1">
      <alignment horizontal="center" vertical="center" wrapText="1" readingOrder="1"/>
    </xf>
    <xf numFmtId="0" fontId="36" fillId="22" borderId="49" xfId="7" applyFont="1" applyFill="1" applyBorder="1" applyAlignment="1">
      <alignment horizontal="left" vertical="center" wrapText="1" readingOrder="1"/>
    </xf>
    <xf numFmtId="0" fontId="40" fillId="23" borderId="49" xfId="7" applyFont="1" applyFill="1" applyBorder="1" applyAlignment="1">
      <alignment horizontal="left" vertical="center" wrapText="1" readingOrder="1"/>
    </xf>
    <xf numFmtId="0" fontId="14" fillId="0" borderId="34" xfId="2" applyFont="1" applyBorder="1" applyAlignment="1">
      <alignment horizontal="left" vertical="center" wrapText="1"/>
    </xf>
    <xf numFmtId="0" fontId="0" fillId="0" borderId="0" xfId="0" applyAlignment="1">
      <alignment horizontal="left"/>
    </xf>
    <xf numFmtId="0" fontId="40" fillId="13" borderId="49" xfId="7" applyFont="1" applyFill="1" applyBorder="1" applyAlignment="1">
      <alignment horizontal="left" vertical="center" wrapText="1" readingOrder="1"/>
    </xf>
    <xf numFmtId="0" fontId="37" fillId="13" borderId="49" xfId="7" applyFont="1" applyFill="1" applyBorder="1" applyAlignment="1">
      <alignment horizontal="center" vertical="center" wrapText="1" readingOrder="1"/>
    </xf>
    <xf numFmtId="0" fontId="36" fillId="13" borderId="50" xfId="7" applyFont="1" applyFill="1" applyBorder="1" applyAlignment="1">
      <alignment horizontal="left" vertical="center" wrapText="1" readingOrder="1"/>
    </xf>
    <xf numFmtId="0" fontId="37" fillId="13" borderId="50" xfId="7" applyFont="1" applyFill="1" applyBorder="1" applyAlignment="1">
      <alignment horizontal="center" vertical="center" wrapText="1" readingOrder="1"/>
    </xf>
    <xf numFmtId="0" fontId="39" fillId="13" borderId="0" xfId="0" applyFont="1" applyFill="1" applyAlignment="1">
      <alignment horizontal="right" vertical="center" indent="1"/>
    </xf>
    <xf numFmtId="0" fontId="16" fillId="24" borderId="0" xfId="0" applyFont="1" applyFill="1" applyAlignment="1">
      <alignment horizontal="center" vertical="center"/>
    </xf>
    <xf numFmtId="0" fontId="43" fillId="5" borderId="51" xfId="7" applyFont="1" applyFill="1" applyBorder="1" applyAlignment="1">
      <alignment horizontal="right"/>
    </xf>
    <xf numFmtId="0" fontId="43" fillId="5" borderId="52" xfId="7" applyFont="1" applyFill="1" applyBorder="1" applyAlignment="1">
      <alignment horizontal="center" vertical="center"/>
    </xf>
    <xf numFmtId="0" fontId="43" fillId="5" borderId="53" xfId="7" applyFont="1" applyFill="1" applyBorder="1" applyAlignment="1">
      <alignment horizontal="center" vertical="center"/>
    </xf>
    <xf numFmtId="0" fontId="43" fillId="5" borderId="54" xfId="7" applyFont="1" applyFill="1" applyBorder="1" applyAlignment="1">
      <alignment horizontal="center" vertical="center"/>
    </xf>
    <xf numFmtId="0" fontId="44" fillId="0" borderId="0" xfId="7" applyFont="1"/>
    <xf numFmtId="0" fontId="45" fillId="3" borderId="55" xfId="7" applyFont="1" applyFill="1" applyBorder="1" applyAlignment="1">
      <alignment horizontal="center" vertical="center" wrapText="1" readingOrder="1"/>
    </xf>
    <xf numFmtId="0" fontId="46" fillId="25" borderId="56" xfId="7" applyFont="1" applyFill="1" applyBorder="1" applyAlignment="1">
      <alignment horizontal="left" vertical="center" wrapText="1" readingOrder="1"/>
    </xf>
    <xf numFmtId="9" fontId="37" fillId="0" borderId="57" xfId="1" applyFont="1" applyBorder="1" applyAlignment="1">
      <alignment horizontal="center" vertical="center" wrapText="1" readingOrder="1"/>
    </xf>
    <xf numFmtId="0" fontId="46" fillId="25" borderId="58" xfId="7" applyFont="1" applyFill="1" applyBorder="1" applyAlignment="1">
      <alignment horizontal="left" vertical="center" wrapText="1" readingOrder="1"/>
    </xf>
    <xf numFmtId="0" fontId="46" fillId="25" borderId="59" xfId="7" applyFont="1" applyFill="1" applyBorder="1" applyAlignment="1">
      <alignment horizontal="left" vertical="center" wrapText="1" readingOrder="1"/>
    </xf>
    <xf numFmtId="0" fontId="47" fillId="0" borderId="0" xfId="7" applyFont="1"/>
    <xf numFmtId="0" fontId="48" fillId="19" borderId="28" xfId="7" applyFont="1" applyFill="1" applyBorder="1" applyAlignment="1">
      <alignment horizontal="center" vertical="center" wrapText="1" readingOrder="1"/>
    </xf>
    <xf numFmtId="0" fontId="48" fillId="19" borderId="0" xfId="7" applyFont="1" applyFill="1" applyAlignment="1">
      <alignment horizontal="center" vertical="center" wrapText="1" readingOrder="1"/>
    </xf>
    <xf numFmtId="0" fontId="37" fillId="0" borderId="60" xfId="7" applyFont="1" applyBorder="1" applyAlignment="1">
      <alignment horizontal="center" vertical="center" wrapText="1" readingOrder="1"/>
    </xf>
    <xf numFmtId="0" fontId="37" fillId="0" borderId="61" xfId="7" applyFont="1" applyBorder="1" applyAlignment="1">
      <alignment horizontal="center" vertical="center" wrapText="1" readingOrder="1"/>
    </xf>
    <xf numFmtId="0" fontId="48" fillId="19" borderId="62" xfId="7" applyFont="1" applyFill="1" applyBorder="1" applyAlignment="1">
      <alignment horizontal="center" vertical="center" wrapText="1" readingOrder="1"/>
    </xf>
    <xf numFmtId="0" fontId="37" fillId="0" borderId="63" xfId="7" applyFont="1" applyBorder="1" applyAlignment="1">
      <alignment horizontal="center" vertical="center" wrapText="1" readingOrder="1"/>
    </xf>
    <xf numFmtId="0" fontId="37" fillId="0" borderId="64" xfId="7" applyFont="1" applyBorder="1" applyAlignment="1">
      <alignment horizontal="center" vertical="center" wrapText="1" readingOrder="1"/>
    </xf>
    <xf numFmtId="0" fontId="49" fillId="0" borderId="33" xfId="7" applyFont="1" applyBorder="1" applyAlignment="1">
      <alignment horizontal="center" vertical="center"/>
    </xf>
    <xf numFmtId="14" fontId="50" fillId="7" borderId="2" xfId="2" applyNumberFormat="1" applyFont="1" applyFill="1" applyBorder="1" applyAlignment="1">
      <alignment horizontal="center" vertical="center" wrapText="1"/>
    </xf>
    <xf numFmtId="0" fontId="51" fillId="26" borderId="15" xfId="2" applyFont="1" applyFill="1" applyBorder="1" applyAlignment="1">
      <alignment horizontal="center" vertical="center"/>
    </xf>
    <xf numFmtId="0" fontId="51" fillId="27" borderId="16" xfId="2" applyFont="1" applyFill="1" applyBorder="1" applyAlignment="1">
      <alignment horizontal="center" vertical="center"/>
    </xf>
    <xf numFmtId="0" fontId="51" fillId="28" borderId="15" xfId="2" applyFont="1" applyFill="1" applyBorder="1" applyAlignment="1">
      <alignment horizontal="center" vertical="center"/>
    </xf>
    <xf numFmtId="0" fontId="51" fillId="29" borderId="19" xfId="2" applyFont="1" applyFill="1" applyBorder="1" applyAlignment="1">
      <alignment horizontal="center" vertical="center"/>
    </xf>
    <xf numFmtId="0" fontId="13" fillId="9" borderId="2" xfId="0" applyFont="1" applyFill="1" applyBorder="1" applyAlignment="1">
      <alignment horizontal="right" vertical="center" wrapText="1"/>
    </xf>
    <xf numFmtId="0" fontId="52" fillId="10" borderId="17" xfId="2" applyFont="1" applyFill="1" applyBorder="1" applyAlignment="1">
      <alignment horizontal="center" vertical="center"/>
    </xf>
    <xf numFmtId="0" fontId="51" fillId="30" borderId="19" xfId="2" applyFont="1" applyFill="1" applyBorder="1" applyAlignment="1">
      <alignment horizontal="center" vertical="center"/>
    </xf>
    <xf numFmtId="10" fontId="51" fillId="30" borderId="15" xfId="2" applyNumberFormat="1" applyFont="1" applyFill="1" applyBorder="1" applyAlignment="1">
      <alignment horizontal="center" vertical="center"/>
    </xf>
    <xf numFmtId="0" fontId="51" fillId="30" borderId="21" xfId="0" applyFont="1" applyFill="1" applyBorder="1" applyAlignment="1">
      <alignment horizontal="center" vertical="center"/>
    </xf>
    <xf numFmtId="0" fontId="51" fillId="31" borderId="16" xfId="2" applyFont="1" applyFill="1" applyBorder="1" applyAlignment="1">
      <alignment horizontal="center" vertical="center"/>
    </xf>
    <xf numFmtId="0" fontId="11" fillId="0" borderId="0" xfId="0" applyFont="1" applyAlignment="1">
      <alignment horizontal="center" vertical="center" wrapText="1"/>
    </xf>
    <xf numFmtId="0" fontId="50" fillId="7" borderId="12" xfId="2" applyFont="1" applyFill="1" applyBorder="1" applyAlignment="1">
      <alignment vertical="center" wrapText="1"/>
    </xf>
    <xf numFmtId="0" fontId="20" fillId="7" borderId="14" xfId="2" applyFont="1" applyFill="1" applyBorder="1" applyAlignment="1">
      <alignment vertical="center" wrapText="1"/>
    </xf>
    <xf numFmtId="0" fontId="11" fillId="0" borderId="0" xfId="0" applyFont="1" applyAlignment="1">
      <alignment vertical="center" wrapText="1"/>
    </xf>
    <xf numFmtId="0" fontId="0" fillId="0" borderId="0" xfId="0" applyAlignment="1">
      <alignment horizontal="left" indent="1"/>
    </xf>
    <xf numFmtId="166" fontId="14" fillId="0" borderId="34" xfId="2" applyNumberFormat="1" applyFont="1" applyBorder="1" applyAlignment="1">
      <alignment horizontal="left" vertical="center" wrapText="1"/>
    </xf>
    <xf numFmtId="0" fontId="0" fillId="0" borderId="0" xfId="0" applyAlignment="1">
      <alignment horizontal="left" wrapText="1"/>
    </xf>
    <xf numFmtId="0" fontId="11" fillId="0" borderId="74" xfId="0" applyFont="1" applyBorder="1" applyAlignment="1">
      <alignment horizontal="left" vertical="center" wrapText="1"/>
    </xf>
    <xf numFmtId="0" fontId="0" fillId="0" borderId="74" xfId="0" applyBorder="1" applyAlignment="1">
      <alignment horizontal="left" wrapText="1"/>
    </xf>
    <xf numFmtId="0" fontId="15" fillId="0" borderId="7" xfId="2" applyFont="1" applyBorder="1" applyAlignment="1">
      <alignment horizontal="left" vertical="center" wrapText="1"/>
    </xf>
    <xf numFmtId="0" fontId="15" fillId="2" borderId="4" xfId="2" applyFont="1" applyFill="1" applyBorder="1" applyAlignment="1">
      <alignment horizontal="left" vertical="center" wrapText="1"/>
    </xf>
    <xf numFmtId="0" fontId="15" fillId="14" borderId="9" xfId="2" applyFont="1" applyFill="1" applyBorder="1" applyAlignment="1">
      <alignment horizontal="left" vertical="center" wrapText="1"/>
    </xf>
    <xf numFmtId="0" fontId="11" fillId="0" borderId="0" xfId="0" applyFont="1" applyAlignment="1">
      <alignment horizontal="left" vertical="center" wrapText="1"/>
    </xf>
    <xf numFmtId="0" fontId="15" fillId="2" borderId="7" xfId="2" applyFont="1" applyFill="1" applyBorder="1" applyAlignment="1">
      <alignment horizontal="left" vertical="center" wrapText="1"/>
    </xf>
    <xf numFmtId="0" fontId="15" fillId="0" borderId="8" xfId="2" applyFont="1" applyBorder="1" applyAlignment="1">
      <alignment horizontal="left" vertical="center" wrapText="1"/>
    </xf>
    <xf numFmtId="0" fontId="0" fillId="0" borderId="3" xfId="0" applyBorder="1" applyAlignment="1">
      <alignment horizontal="left" wrapText="1"/>
    </xf>
    <xf numFmtId="0" fontId="0" fillId="0" borderId="3" xfId="0" applyBorder="1" applyAlignment="1">
      <alignment horizontal="left" vertical="top" wrapText="1"/>
    </xf>
    <xf numFmtId="0" fontId="11" fillId="0" borderId="3" xfId="0" applyFont="1" applyBorder="1" applyAlignment="1">
      <alignment horizontal="left" vertical="center" wrapText="1"/>
    </xf>
    <xf numFmtId="0" fontId="15" fillId="0" borderId="75" xfId="2" applyFont="1" applyBorder="1" applyAlignment="1">
      <alignment horizontal="left" vertical="center" wrapText="1"/>
    </xf>
    <xf numFmtId="0" fontId="14" fillId="2" borderId="34" xfId="2" applyFont="1" applyFill="1" applyBorder="1" applyAlignment="1">
      <alignment horizontal="left" vertical="center" wrapText="1"/>
    </xf>
    <xf numFmtId="0" fontId="15" fillId="0" borderId="76" xfId="2" applyFont="1" applyBorder="1" applyAlignment="1">
      <alignment horizontal="left" vertical="center" wrapText="1"/>
    </xf>
    <xf numFmtId="0" fontId="15" fillId="2" borderId="26" xfId="2" applyFont="1" applyFill="1" applyBorder="1" applyAlignment="1">
      <alignment horizontal="left" vertical="center" wrapText="1"/>
    </xf>
    <xf numFmtId="0" fontId="14" fillId="0" borderId="77" xfId="2" applyFont="1" applyBorder="1" applyAlignment="1">
      <alignment horizontal="left" vertical="center" wrapText="1"/>
    </xf>
    <xf numFmtId="0" fontId="14" fillId="2" borderId="77" xfId="2" applyFont="1" applyFill="1" applyBorder="1" applyAlignment="1">
      <alignment horizontal="left" vertical="center" wrapText="1"/>
    </xf>
    <xf numFmtId="0" fontId="15" fillId="14" borderId="78" xfId="2" applyFont="1" applyFill="1" applyBorder="1" applyAlignment="1">
      <alignment horizontal="left" vertical="center" wrapText="1"/>
    </xf>
    <xf numFmtId="0" fontId="15" fillId="0" borderId="3" xfId="2" applyFont="1" applyBorder="1" applyAlignment="1">
      <alignment horizontal="left" vertical="center" wrapText="1"/>
    </xf>
    <xf numFmtId="0" fontId="15" fillId="2" borderId="3" xfId="2" applyFont="1" applyFill="1" applyBorder="1" applyAlignment="1">
      <alignment horizontal="left" vertical="center" wrapText="1"/>
    </xf>
    <xf numFmtId="0" fontId="15" fillId="0" borderId="79" xfId="2" applyFont="1" applyBorder="1" applyAlignment="1">
      <alignment horizontal="left" vertical="center" wrapText="1"/>
    </xf>
    <xf numFmtId="0" fontId="11" fillId="0" borderId="2" xfId="0" applyFont="1" applyBorder="1" applyAlignment="1">
      <alignment horizontal="left" vertical="center" wrapText="1"/>
    </xf>
    <xf numFmtId="0" fontId="67" fillId="0" borderId="0" xfId="0" applyFont="1"/>
    <xf numFmtId="0" fontId="68" fillId="0" borderId="7" xfId="0" applyFont="1" applyBorder="1" applyAlignment="1">
      <alignment horizontal="left" vertical="center" wrapText="1"/>
    </xf>
    <xf numFmtId="0" fontId="68" fillId="0" borderId="2" xfId="0" applyFont="1" applyBorder="1" applyAlignment="1">
      <alignment horizontal="left" vertical="center" wrapText="1"/>
    </xf>
  </cellXfs>
  <cellStyles count="170">
    <cellStyle name="20% - Énfasis1" xfId="25" builtinId="30" customBuiltin="1"/>
    <cellStyle name="20% - Énfasis1 2" xfId="52"/>
    <cellStyle name="20% - Énfasis1 3" xfId="72"/>
    <cellStyle name="20% - Énfasis1 4" xfId="92"/>
    <cellStyle name="20% - Énfasis1 5" xfId="112"/>
    <cellStyle name="20% - Énfasis1 6" xfId="132"/>
    <cellStyle name="20% - Énfasis1 7" xfId="152"/>
    <cellStyle name="20% - Énfasis2" xfId="29" builtinId="34" customBuiltin="1"/>
    <cellStyle name="20% - Énfasis2 2" xfId="55"/>
    <cellStyle name="20% - Énfasis2 3" xfId="75"/>
    <cellStyle name="20% - Énfasis2 4" xfId="95"/>
    <cellStyle name="20% - Énfasis2 5" xfId="115"/>
    <cellStyle name="20% - Énfasis2 6" xfId="135"/>
    <cellStyle name="20% - Énfasis2 7" xfId="155"/>
    <cellStyle name="20% - Énfasis3" xfId="33" builtinId="38" customBuiltin="1"/>
    <cellStyle name="20% - Énfasis3 2" xfId="58"/>
    <cellStyle name="20% - Énfasis3 3" xfId="78"/>
    <cellStyle name="20% - Énfasis3 4" xfId="98"/>
    <cellStyle name="20% - Énfasis3 5" xfId="118"/>
    <cellStyle name="20% - Énfasis3 6" xfId="138"/>
    <cellStyle name="20% - Énfasis3 7" xfId="158"/>
    <cellStyle name="20% - Énfasis4" xfId="37" builtinId="42" customBuiltin="1"/>
    <cellStyle name="20% - Énfasis4 2" xfId="61"/>
    <cellStyle name="20% - Énfasis4 3" xfId="81"/>
    <cellStyle name="20% - Énfasis4 4" xfId="101"/>
    <cellStyle name="20% - Énfasis4 5" xfId="121"/>
    <cellStyle name="20% - Énfasis4 6" xfId="141"/>
    <cellStyle name="20% - Énfasis4 7" xfId="161"/>
    <cellStyle name="20% - Énfasis5" xfId="41" builtinId="46" customBuiltin="1"/>
    <cellStyle name="20% - Énfasis5 2" xfId="64"/>
    <cellStyle name="20% - Énfasis5 3" xfId="84"/>
    <cellStyle name="20% - Énfasis5 4" xfId="104"/>
    <cellStyle name="20% - Énfasis5 5" xfId="124"/>
    <cellStyle name="20% - Énfasis5 6" xfId="144"/>
    <cellStyle name="20% - Énfasis5 7" xfId="164"/>
    <cellStyle name="20% - Énfasis6" xfId="45" builtinId="50" customBuiltin="1"/>
    <cellStyle name="20% - Énfasis6 2" xfId="67"/>
    <cellStyle name="20% - Énfasis6 3" xfId="87"/>
    <cellStyle name="20% - Énfasis6 4" xfId="107"/>
    <cellStyle name="20% - Énfasis6 5" xfId="127"/>
    <cellStyle name="20% - Énfasis6 6" xfId="147"/>
    <cellStyle name="20% - Énfasis6 7" xfId="167"/>
    <cellStyle name="40% - Énfasis1" xfId="26" builtinId="31" customBuiltin="1"/>
    <cellStyle name="40% - Énfasis1 2" xfId="53"/>
    <cellStyle name="40% - Énfasis1 3" xfId="73"/>
    <cellStyle name="40% - Énfasis1 4" xfId="93"/>
    <cellStyle name="40% - Énfasis1 5" xfId="113"/>
    <cellStyle name="40% - Énfasis1 6" xfId="133"/>
    <cellStyle name="40% - Énfasis1 7" xfId="153"/>
    <cellStyle name="40% - Énfasis2" xfId="30" builtinId="35" customBuiltin="1"/>
    <cellStyle name="40% - Énfasis2 2" xfId="56"/>
    <cellStyle name="40% - Énfasis2 3" xfId="76"/>
    <cellStyle name="40% - Énfasis2 4" xfId="96"/>
    <cellStyle name="40% - Énfasis2 5" xfId="116"/>
    <cellStyle name="40% - Énfasis2 6" xfId="136"/>
    <cellStyle name="40% - Énfasis2 7" xfId="156"/>
    <cellStyle name="40% - Énfasis3" xfId="34" builtinId="39" customBuiltin="1"/>
    <cellStyle name="40% - Énfasis3 2" xfId="59"/>
    <cellStyle name="40% - Énfasis3 3" xfId="79"/>
    <cellStyle name="40% - Énfasis3 4" xfId="99"/>
    <cellStyle name="40% - Énfasis3 5" xfId="119"/>
    <cellStyle name="40% - Énfasis3 6" xfId="139"/>
    <cellStyle name="40% - Énfasis3 7" xfId="159"/>
    <cellStyle name="40% - Énfasis4" xfId="38" builtinId="43" customBuiltin="1"/>
    <cellStyle name="40% - Énfasis4 2" xfId="62"/>
    <cellStyle name="40% - Énfasis4 3" xfId="82"/>
    <cellStyle name="40% - Énfasis4 4" xfId="102"/>
    <cellStyle name="40% - Énfasis4 5" xfId="122"/>
    <cellStyle name="40% - Énfasis4 6" xfId="142"/>
    <cellStyle name="40% - Énfasis4 7" xfId="162"/>
    <cellStyle name="40% - Énfasis5" xfId="42" builtinId="47" customBuiltin="1"/>
    <cellStyle name="40% - Énfasis5 2" xfId="65"/>
    <cellStyle name="40% - Énfasis5 3" xfId="85"/>
    <cellStyle name="40% - Énfasis5 4" xfId="105"/>
    <cellStyle name="40% - Énfasis5 5" xfId="125"/>
    <cellStyle name="40% - Énfasis5 6" xfId="145"/>
    <cellStyle name="40% - Énfasis5 7" xfId="165"/>
    <cellStyle name="40% - Énfasis6" xfId="46" builtinId="51" customBuiltin="1"/>
    <cellStyle name="40% - Énfasis6 2" xfId="68"/>
    <cellStyle name="40% - Énfasis6 3" xfId="88"/>
    <cellStyle name="40% - Énfasis6 4" xfId="108"/>
    <cellStyle name="40% - Énfasis6 5" xfId="128"/>
    <cellStyle name="40% - Énfasis6 6" xfId="148"/>
    <cellStyle name="40% - Énfasis6 7" xfId="168"/>
    <cellStyle name="60% - Énfasis1" xfId="27" builtinId="32" customBuiltin="1"/>
    <cellStyle name="60% - Énfasis1 2" xfId="54"/>
    <cellStyle name="60% - Énfasis1 3" xfId="74"/>
    <cellStyle name="60% - Énfasis1 4" xfId="94"/>
    <cellStyle name="60% - Énfasis1 5" xfId="114"/>
    <cellStyle name="60% - Énfasis1 6" xfId="134"/>
    <cellStyle name="60% - Énfasis1 7" xfId="154"/>
    <cellStyle name="60% - Énfasis2" xfId="31" builtinId="36" customBuiltin="1"/>
    <cellStyle name="60% - Énfasis2 2" xfId="57"/>
    <cellStyle name="60% - Énfasis2 3" xfId="77"/>
    <cellStyle name="60% - Énfasis2 4" xfId="97"/>
    <cellStyle name="60% - Énfasis2 5" xfId="117"/>
    <cellStyle name="60% - Énfasis2 6" xfId="137"/>
    <cellStyle name="60% - Énfasis2 7" xfId="157"/>
    <cellStyle name="60% - Énfasis3" xfId="35" builtinId="40" customBuiltin="1"/>
    <cellStyle name="60% - Énfasis3 2" xfId="60"/>
    <cellStyle name="60% - Énfasis3 3" xfId="80"/>
    <cellStyle name="60% - Énfasis3 4" xfId="100"/>
    <cellStyle name="60% - Énfasis3 5" xfId="120"/>
    <cellStyle name="60% - Énfasis3 6" xfId="140"/>
    <cellStyle name="60% - Énfasis3 7" xfId="160"/>
    <cellStyle name="60% - Énfasis4" xfId="39" builtinId="44" customBuiltin="1"/>
    <cellStyle name="60% - Énfasis4 2" xfId="63"/>
    <cellStyle name="60% - Énfasis4 3" xfId="83"/>
    <cellStyle name="60% - Énfasis4 4" xfId="103"/>
    <cellStyle name="60% - Énfasis4 5" xfId="123"/>
    <cellStyle name="60% - Énfasis4 6" xfId="143"/>
    <cellStyle name="60% - Énfasis4 7" xfId="163"/>
    <cellStyle name="60% - Énfasis5" xfId="43" builtinId="48" customBuiltin="1"/>
    <cellStyle name="60% - Énfasis5 2" xfId="66"/>
    <cellStyle name="60% - Énfasis5 3" xfId="86"/>
    <cellStyle name="60% - Énfasis5 4" xfId="106"/>
    <cellStyle name="60% - Énfasis5 5" xfId="126"/>
    <cellStyle name="60% - Énfasis5 6" xfId="146"/>
    <cellStyle name="60% - Énfasis5 7" xfId="166"/>
    <cellStyle name="60% - Énfasis6" xfId="47" builtinId="52" customBuiltin="1"/>
    <cellStyle name="60% - Énfasis6 2" xfId="69"/>
    <cellStyle name="60% - Énfasis6 3" xfId="89"/>
    <cellStyle name="60% - Énfasis6 4" xfId="109"/>
    <cellStyle name="60% - Énfasis6 5" xfId="129"/>
    <cellStyle name="60% - Énfasis6 6" xfId="149"/>
    <cellStyle name="60% - Énfasis6 7" xfId="169"/>
    <cellStyle name="Bueno" xfId="13" builtinId="26" customBuiltin="1"/>
    <cellStyle name="Cálculo" xfId="18" builtinId="22" customBuiltin="1"/>
    <cellStyle name="Celda de comprobación" xfId="20" builtinId="23" customBuiltin="1"/>
    <cellStyle name="Celda vinculada" xfId="19" builtinId="24" customBuiltin="1"/>
    <cellStyle name="Encabezado 1" xfId="9" builtinId="16" customBuiltin="1"/>
    <cellStyle name="Encabezado 4" xfId="12" builtinId="19" customBuiltin="1"/>
    <cellStyle name="Énfasis1" xfId="24" builtinId="29" customBuiltin="1"/>
    <cellStyle name="Énfasis2" xfId="28" builtinId="33" customBuiltin="1"/>
    <cellStyle name="Énfasis3" xfId="32" builtinId="37" customBuiltin="1"/>
    <cellStyle name="Énfasis4" xfId="36" builtinId="41" customBuiltin="1"/>
    <cellStyle name="Énfasis5" xfId="40" builtinId="45" customBuiltin="1"/>
    <cellStyle name="Énfasis6" xfId="44" builtinId="49" customBuiltin="1"/>
    <cellStyle name="Entrada" xfId="16" builtinId="20" customBuiltin="1"/>
    <cellStyle name="Incorrecto" xfId="14" builtinId="27" customBuiltin="1"/>
    <cellStyle name="Neutral" xfId="15" builtinId="28" customBuiltin="1"/>
    <cellStyle name="Normal" xfId="0" builtinId="0"/>
    <cellStyle name="Normal 10" xfId="110"/>
    <cellStyle name="Normal 11" xfId="130"/>
    <cellStyle name="Normal 12" xfId="150"/>
    <cellStyle name="Normal 2" xfId="7"/>
    <cellStyle name="Normal 2 2" xfId="3"/>
    <cellStyle name="Normal 3" xfId="5"/>
    <cellStyle name="Normal 4" xfId="6"/>
    <cellStyle name="Normal 5" xfId="4"/>
    <cellStyle name="Normal 6" xfId="48"/>
    <cellStyle name="Normal 7" xfId="50"/>
    <cellStyle name="Normal 8" xfId="70"/>
    <cellStyle name="Normal 9" xfId="90"/>
    <cellStyle name="Normal_Hoja2" xfId="2"/>
    <cellStyle name="Notas 2" xfId="49"/>
    <cellStyle name="Notas 3" xfId="51"/>
    <cellStyle name="Notas 4" xfId="71"/>
    <cellStyle name="Notas 5" xfId="91"/>
    <cellStyle name="Notas 6" xfId="111"/>
    <cellStyle name="Notas 7" xfId="131"/>
    <cellStyle name="Notas 8" xfId="151"/>
    <cellStyle name="Porcentaje" xfId="1" builtinId="5"/>
    <cellStyle name="Salida" xfId="17" builtinId="21" customBuiltin="1"/>
    <cellStyle name="Texto de advertencia" xfId="21" builtinId="11" customBuiltin="1"/>
    <cellStyle name="Texto explicativo" xfId="22" builtinId="53" customBuiltin="1"/>
    <cellStyle name="Título" xfId="8" builtinId="15" customBuiltin="1"/>
    <cellStyle name="Título 2" xfId="10" builtinId="17" customBuiltin="1"/>
    <cellStyle name="Título 3" xfId="11" builtinId="18" customBuiltin="1"/>
    <cellStyle name="Total" xfId="23" builtinId="25" customBuiltin="1"/>
  </cellStyles>
  <dxfs count="103">
    <dxf>
      <fill>
        <patternFill patternType="solid">
          <fgColor rgb="FFFFFFCC"/>
          <bgColor rgb="FFFFFFCC"/>
        </patternFill>
      </fill>
    </dxf>
    <dxf>
      <fill>
        <patternFill patternType="solid">
          <fgColor rgb="FFFF0000"/>
          <bgColor rgb="FFFF0000"/>
        </patternFill>
      </fill>
    </dxf>
    <dxf>
      <fill>
        <patternFill patternType="solid">
          <fgColor rgb="FFCCFFCC"/>
          <bgColor rgb="FFCCFFCC"/>
        </patternFill>
      </fill>
    </dxf>
    <dxf>
      <fill>
        <patternFill patternType="solid">
          <fgColor rgb="FFFFFFCC"/>
          <bgColor rgb="FFFFFFCC"/>
        </patternFill>
      </fill>
    </dxf>
    <dxf>
      <fill>
        <patternFill patternType="solid">
          <fgColor rgb="FFFF0000"/>
          <bgColor rgb="FFFF0000"/>
        </patternFill>
      </fill>
    </dxf>
    <dxf>
      <fill>
        <patternFill patternType="solid">
          <fgColor rgb="FFCCFFCC"/>
          <bgColor rgb="FFCCFFCC"/>
        </patternFill>
      </fill>
    </dxf>
    <dxf>
      <fill>
        <patternFill patternType="solid">
          <fgColor rgb="FFFFFFCC"/>
          <bgColor rgb="FFFFFFCC"/>
        </patternFill>
      </fill>
    </dxf>
    <dxf>
      <fill>
        <patternFill patternType="solid">
          <fgColor rgb="FFFF0000"/>
          <bgColor rgb="FFFF0000"/>
        </patternFill>
      </fill>
    </dxf>
    <dxf>
      <fill>
        <patternFill patternType="solid">
          <fgColor rgb="FFCCFFCC"/>
          <bgColor rgb="FFCCFFCC"/>
        </patternFill>
      </fill>
    </dxf>
    <dxf>
      <fill>
        <patternFill patternType="solid">
          <fgColor rgb="FFFFFFCC"/>
          <bgColor rgb="FFFFFFCC"/>
        </patternFill>
      </fill>
    </dxf>
    <dxf>
      <fill>
        <patternFill patternType="solid">
          <fgColor rgb="FFFF0000"/>
          <bgColor rgb="FFFF0000"/>
        </patternFill>
      </fill>
    </dxf>
    <dxf>
      <fill>
        <patternFill patternType="solid">
          <fgColor rgb="FFCCFFCC"/>
          <bgColor rgb="FFCCFFCC"/>
        </patternFill>
      </fill>
    </dxf>
    <dxf>
      <fill>
        <patternFill patternType="solid">
          <fgColor rgb="FFFFFFCC"/>
          <bgColor rgb="FFFFFFCC"/>
        </patternFill>
      </fill>
    </dxf>
    <dxf>
      <fill>
        <patternFill patternType="solid">
          <fgColor rgb="FFFF0000"/>
          <bgColor rgb="FFFF0000"/>
        </patternFill>
      </fill>
    </dxf>
    <dxf>
      <fill>
        <patternFill patternType="solid">
          <fgColor rgb="FFCCFFCC"/>
          <bgColor rgb="FFCCFFCC"/>
        </patternFill>
      </fill>
    </dxf>
    <dxf>
      <fill>
        <patternFill patternType="solid">
          <fgColor rgb="FFFFFFCC"/>
          <bgColor rgb="FFFFFFCC"/>
        </patternFill>
      </fill>
    </dxf>
    <dxf>
      <fill>
        <patternFill patternType="solid">
          <fgColor rgb="FFFF0000"/>
          <bgColor rgb="FFFF0000"/>
        </patternFill>
      </fill>
    </dxf>
    <dxf>
      <fill>
        <patternFill patternType="solid">
          <fgColor rgb="FFCCFFCC"/>
          <bgColor rgb="FFCCFFCC"/>
        </patternFill>
      </fill>
    </dxf>
    <dxf>
      <fill>
        <patternFill patternType="solid">
          <fgColor rgb="FFFFFFCC"/>
          <bgColor rgb="FFFFFFCC"/>
        </patternFill>
      </fill>
    </dxf>
    <dxf>
      <fill>
        <patternFill patternType="solid">
          <fgColor rgb="FFFF0000"/>
          <bgColor rgb="FFFF0000"/>
        </patternFill>
      </fill>
    </dxf>
    <dxf>
      <fill>
        <patternFill patternType="solid">
          <fgColor rgb="FFCCFFCC"/>
          <bgColor rgb="FFCCFFCC"/>
        </patternFill>
      </fill>
    </dxf>
    <dxf>
      <fill>
        <patternFill patternType="solid">
          <fgColor rgb="FFFFFFCC"/>
          <bgColor rgb="FFFFFFCC"/>
        </patternFill>
      </fill>
    </dxf>
    <dxf>
      <fill>
        <patternFill patternType="solid">
          <fgColor rgb="FFFF0000"/>
          <bgColor rgb="FFFF0000"/>
        </patternFill>
      </fill>
    </dxf>
    <dxf>
      <fill>
        <patternFill patternType="solid">
          <fgColor rgb="FFCCFFCC"/>
          <bgColor rgb="FFCCFFCC"/>
        </patternFill>
      </fill>
    </dxf>
    <dxf>
      <fill>
        <patternFill patternType="solid">
          <fgColor rgb="FFFFFFCC"/>
          <bgColor rgb="FFFFFFCC"/>
        </patternFill>
      </fill>
    </dxf>
    <dxf>
      <fill>
        <patternFill patternType="solid">
          <fgColor rgb="FFFF0000"/>
          <bgColor rgb="FFFF0000"/>
        </patternFill>
      </fill>
    </dxf>
    <dxf>
      <fill>
        <patternFill patternType="solid">
          <fgColor rgb="FFCCFFCC"/>
          <bgColor rgb="FFCCFFCC"/>
        </patternFill>
      </fill>
    </dxf>
    <dxf>
      <fill>
        <patternFill patternType="solid">
          <fgColor rgb="FFFFFFCC"/>
          <bgColor rgb="FFFFFFCC"/>
        </patternFill>
      </fill>
    </dxf>
    <dxf>
      <fill>
        <patternFill patternType="solid">
          <fgColor rgb="FFFF0000"/>
          <bgColor rgb="FFFF0000"/>
        </patternFill>
      </fill>
    </dxf>
    <dxf>
      <fill>
        <patternFill patternType="solid">
          <fgColor rgb="FFCCFFCC"/>
          <bgColor rgb="FFCCFFCC"/>
        </patternFill>
      </fill>
    </dxf>
    <dxf>
      <fill>
        <patternFill patternType="solid">
          <fgColor rgb="FFFFFFCC"/>
          <bgColor rgb="FFFFFFCC"/>
        </patternFill>
      </fill>
    </dxf>
    <dxf>
      <fill>
        <patternFill patternType="solid">
          <fgColor rgb="FFFF0000"/>
          <bgColor rgb="FFFF0000"/>
        </patternFill>
      </fill>
    </dxf>
    <dxf>
      <fill>
        <patternFill patternType="solid">
          <fgColor rgb="FFCCFFCC"/>
          <bgColor rgb="FFCCFFCC"/>
        </patternFill>
      </fill>
    </dxf>
    <dxf>
      <fill>
        <patternFill patternType="solid">
          <fgColor rgb="FFFFFFCC"/>
          <bgColor rgb="FFFFFFCC"/>
        </patternFill>
      </fill>
    </dxf>
    <dxf>
      <fill>
        <patternFill patternType="solid">
          <fgColor rgb="FFFF0000"/>
          <bgColor rgb="FFFF0000"/>
        </patternFill>
      </fill>
    </dxf>
    <dxf>
      <fill>
        <patternFill patternType="solid">
          <fgColor rgb="FFCCFFCC"/>
          <bgColor rgb="FFCCFFCC"/>
        </patternFill>
      </fill>
    </dxf>
    <dxf>
      <fill>
        <patternFill patternType="solid">
          <fgColor rgb="FFFFFFCC"/>
          <bgColor rgb="FFFFFFCC"/>
        </patternFill>
      </fill>
    </dxf>
    <dxf>
      <fill>
        <patternFill patternType="solid">
          <fgColor rgb="FFFF0000"/>
          <bgColor rgb="FFFF0000"/>
        </patternFill>
      </fill>
    </dxf>
    <dxf>
      <fill>
        <patternFill patternType="solid">
          <fgColor rgb="FFCCFFCC"/>
          <bgColor rgb="FFCCFFCC"/>
        </patternFill>
      </fill>
    </dxf>
    <dxf>
      <fill>
        <patternFill patternType="solid">
          <fgColor rgb="FFFFFFCC"/>
          <bgColor rgb="FFFFFFCC"/>
        </patternFill>
      </fill>
    </dxf>
    <dxf>
      <fill>
        <patternFill patternType="solid">
          <fgColor rgb="FFFF0000"/>
          <bgColor rgb="FFFF0000"/>
        </patternFill>
      </fill>
    </dxf>
    <dxf>
      <fill>
        <patternFill patternType="solid">
          <fgColor rgb="FFCCFFCC"/>
          <bgColor rgb="FFCCFFCC"/>
        </patternFill>
      </fill>
    </dxf>
    <dxf>
      <fill>
        <patternFill patternType="solid">
          <fgColor rgb="FFFFFFCC"/>
          <bgColor rgb="FFFFFFCC"/>
        </patternFill>
      </fill>
    </dxf>
    <dxf>
      <fill>
        <patternFill patternType="solid">
          <fgColor rgb="FFFF0000"/>
          <bgColor rgb="FFFF0000"/>
        </patternFill>
      </fill>
    </dxf>
    <dxf>
      <fill>
        <patternFill patternType="solid">
          <fgColor rgb="FFCCFFCC"/>
          <bgColor rgb="FFCCFFCC"/>
        </patternFill>
      </fill>
    </dxf>
    <dxf>
      <fill>
        <patternFill patternType="solid">
          <fgColor rgb="FFFFFFCC"/>
          <bgColor rgb="FFFFFFCC"/>
        </patternFill>
      </fill>
    </dxf>
    <dxf>
      <fill>
        <patternFill patternType="solid">
          <fgColor rgb="FFFF0000"/>
          <bgColor rgb="FFFF0000"/>
        </patternFill>
      </fill>
    </dxf>
    <dxf>
      <fill>
        <patternFill patternType="solid">
          <fgColor rgb="FFCCFFCC"/>
          <bgColor rgb="FFCCFFCC"/>
        </patternFill>
      </fill>
    </dxf>
    <dxf>
      <fill>
        <patternFill patternType="solid">
          <fgColor rgb="FFFFFFCC"/>
          <bgColor rgb="FFFFFFCC"/>
        </patternFill>
      </fill>
    </dxf>
    <dxf>
      <fill>
        <patternFill patternType="solid">
          <fgColor rgb="FFFF0000"/>
          <bgColor rgb="FFFF0000"/>
        </patternFill>
      </fill>
    </dxf>
    <dxf>
      <fill>
        <patternFill patternType="solid">
          <fgColor rgb="FFCCFFCC"/>
          <bgColor rgb="FFCCFFCC"/>
        </patternFill>
      </fill>
    </dxf>
    <dxf>
      <fill>
        <patternFill patternType="solid">
          <fgColor rgb="FFFFFFCC"/>
          <bgColor rgb="FFFFFFCC"/>
        </patternFill>
      </fill>
    </dxf>
    <dxf>
      <fill>
        <patternFill patternType="solid">
          <fgColor rgb="FFFF0000"/>
          <bgColor rgb="FFFF0000"/>
        </patternFill>
      </fill>
    </dxf>
    <dxf>
      <fill>
        <patternFill patternType="solid">
          <fgColor rgb="FFCCFFCC"/>
          <bgColor rgb="FFCCFFCC"/>
        </patternFill>
      </fill>
    </dxf>
    <dxf>
      <font>
        <b/>
        <i val="0"/>
        <condense val="0"/>
        <extend val="0"/>
        <color indexed="0"/>
      </font>
      <fill>
        <patternFill patternType="solid">
          <fgColor indexed="41"/>
          <bgColor indexed="27"/>
        </patternFill>
      </fill>
    </dxf>
    <dxf>
      <font>
        <b/>
        <i val="0"/>
        <condense val="0"/>
        <extend val="0"/>
        <color indexed="0"/>
      </font>
      <fill>
        <patternFill patternType="solid">
          <fgColor indexed="41"/>
          <bgColor indexed="27"/>
        </patternFill>
      </fill>
    </dxf>
    <dxf>
      <font>
        <b/>
        <i val="0"/>
        <condense val="0"/>
        <extend val="0"/>
        <color indexed="0"/>
      </font>
      <fill>
        <patternFill patternType="solid">
          <fgColor indexed="41"/>
          <bgColor indexed="27"/>
        </patternFill>
      </fill>
    </dxf>
    <dxf>
      <font>
        <b/>
        <i val="0"/>
        <condense val="0"/>
        <extend val="0"/>
        <color indexed="0"/>
      </font>
      <fill>
        <patternFill patternType="solid">
          <fgColor indexed="9"/>
          <bgColor indexed="26"/>
        </patternFill>
      </fill>
    </dxf>
    <dxf>
      <font>
        <b/>
        <i val="0"/>
        <condense val="0"/>
        <extend val="0"/>
        <color indexed="0"/>
      </font>
      <fill>
        <patternFill patternType="solid">
          <fgColor indexed="60"/>
          <bgColor indexed="10"/>
        </patternFill>
      </fill>
    </dxf>
    <dxf>
      <font>
        <b/>
        <i val="0"/>
        <condense val="0"/>
        <extend val="0"/>
        <color indexed="0"/>
      </font>
      <fill>
        <patternFill patternType="solid">
          <fgColor indexed="27"/>
          <bgColor indexed="42"/>
        </patternFill>
      </fill>
    </dxf>
    <dxf>
      <border>
        <left style="medium">
          <color indexed="64"/>
        </left>
        <right style="medium">
          <color indexed="64"/>
        </right>
        <top style="medium">
          <color indexed="64"/>
        </top>
        <bottom style="medium">
          <color indexed="64"/>
        </bottom>
      </border>
    </dxf>
    <dxf>
      <font>
        <sz val="12"/>
      </font>
    </dxf>
    <dxf>
      <font>
        <sz val="12"/>
      </font>
    </dxf>
    <dxf>
      <font>
        <sz val="12"/>
      </font>
    </dxf>
    <dxf>
      <font>
        <sz val="12"/>
      </font>
    </dxf>
    <dxf>
      <font>
        <sz val="12"/>
      </font>
    </dxf>
    <dxf>
      <font>
        <sz val="12"/>
      </font>
    </dxf>
    <dxf>
      <font>
        <sz val="12"/>
      </font>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alignment vertical="center"/>
    </dxf>
    <dxf>
      <alignment vertical="center"/>
    </dxf>
    <dxf>
      <alignment vertical="center"/>
    </dxf>
    <dxf>
      <border>
        <bottom style="double">
          <color indexed="64"/>
        </bottom>
      </border>
    </dxf>
    <dxf>
      <border>
        <bottom style="double">
          <color indexed="64"/>
        </bottom>
      </border>
    </dxf>
    <dxf>
      <border>
        <bottom style="double">
          <color indexed="64"/>
        </bottom>
      </border>
    </dxf>
    <dxf>
      <border>
        <bottom style="double">
          <color indexed="64"/>
        </bottom>
      </border>
    </dxf>
    <dxf>
      <border>
        <bottom style="double">
          <color indexed="64"/>
        </bottom>
      </border>
    </dxf>
    <dxf>
      <border>
        <bottom style="double">
          <color indexed="64"/>
        </bottom>
      </border>
    </dxf>
    <dxf>
      <font>
        <color theme="0"/>
      </font>
    </dxf>
    <dxf>
      <font>
        <color theme="0"/>
      </font>
    </dxf>
    <dxf>
      <font>
        <color theme="0"/>
      </font>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alignment horizontal="center"/>
    </dxf>
    <dxf>
      <font>
        <b val="0"/>
        <i val="0"/>
        <strike val="0"/>
        <condense val="0"/>
        <extend val="0"/>
        <outline val="0"/>
        <shadow val="0"/>
        <u val="none"/>
        <vertAlign val="baseline"/>
        <sz val="11"/>
        <color indexed="12"/>
        <name val="Calibri Light"/>
        <scheme val="major"/>
      </font>
      <fill>
        <patternFill patternType="solid">
          <fgColor indexed="41"/>
          <bgColor theme="2"/>
        </patternFill>
      </fill>
      <alignment horizontal="left" vertical="center" textRotation="0" wrapText="1" indent="0" justifyLastLine="0" shrinkToFit="0" readingOrder="0"/>
      <border diagonalUp="0" diagonalDown="0" outline="0">
        <left style="thin">
          <color indexed="64"/>
        </left>
        <right style="thin">
          <color theme="1" tint="0.34998626667073579"/>
        </right>
        <top style="dotted">
          <color theme="1" tint="0.34998626667073579"/>
        </top>
        <bottom style="dotted">
          <color theme="1" tint="0.34998626667073579"/>
        </bottom>
      </border>
    </dxf>
    <dxf>
      <font>
        <b val="0"/>
        <i val="0"/>
        <strike val="0"/>
        <condense val="0"/>
        <extend val="0"/>
        <outline val="0"/>
        <shadow val="0"/>
        <u val="none"/>
        <vertAlign val="baseline"/>
        <sz val="11"/>
        <color auto="1"/>
        <name val="Calibri Light"/>
        <scheme val="major"/>
      </font>
      <alignment horizontal="left" vertical="center" textRotation="0" wrapText="1" indent="0" justifyLastLine="0" shrinkToFit="0" readingOrder="0"/>
      <border diagonalUp="0" diagonalDown="0" outline="0">
        <left/>
        <right style="thin">
          <color indexed="64"/>
        </right>
        <top style="dotted">
          <color theme="1" tint="0.34998626667073579"/>
        </top>
        <bottom style="dotted">
          <color theme="1" tint="0.34998626667073579"/>
        </bottom>
      </border>
    </dxf>
    <dxf>
      <font>
        <b val="0"/>
        <i val="0"/>
        <strike val="0"/>
        <condense val="0"/>
        <extend val="0"/>
        <outline val="0"/>
        <shadow val="0"/>
        <u val="none"/>
        <vertAlign val="baseline"/>
        <sz val="11"/>
        <color auto="1"/>
        <name val="Calibri Light"/>
        <scheme val="major"/>
      </font>
      <alignment horizontal="left" vertical="center" textRotation="0" wrapText="1" indent="0" justifyLastLine="0" shrinkToFit="0" readingOrder="0"/>
      <border diagonalUp="0" diagonalDown="0" outline="0">
        <left/>
        <right style="thin">
          <color indexed="64"/>
        </right>
        <top style="dotted">
          <color theme="1" tint="0.34998626667073579"/>
        </top>
        <bottom style="dotted">
          <color theme="1" tint="0.34998626667073579"/>
        </bottom>
      </border>
    </dxf>
    <dxf>
      <font>
        <b val="0"/>
        <i val="0"/>
        <strike val="0"/>
        <condense val="0"/>
        <extend val="0"/>
        <outline val="0"/>
        <shadow val="0"/>
        <u val="none"/>
        <vertAlign val="baseline"/>
        <sz val="11"/>
        <color auto="1"/>
        <name val="Calibri Light"/>
        <scheme val="major"/>
      </font>
      <fill>
        <patternFill patternType="solid">
          <fgColor indexed="41"/>
          <bgColor indexed="27"/>
        </patternFill>
      </fill>
      <alignment horizontal="left" vertical="center" textRotation="0" wrapText="1" indent="0" justifyLastLine="0" shrinkToFit="0" readingOrder="0"/>
      <border diagonalUp="0" diagonalDown="0" outline="0">
        <left/>
        <right style="thin">
          <color indexed="64"/>
        </right>
        <top style="dotted">
          <color theme="1" tint="0.34998626667073579"/>
        </top>
        <bottom style="dotted">
          <color theme="1" tint="0.34998626667073579"/>
        </bottom>
      </border>
    </dxf>
    <dxf>
      <font>
        <b val="0"/>
        <i val="0"/>
        <strike val="0"/>
        <condense val="0"/>
        <extend val="0"/>
        <outline val="0"/>
        <shadow val="0"/>
        <u val="none"/>
        <vertAlign val="baseline"/>
        <sz val="11"/>
        <color auto="1"/>
        <name val="Calibri Light"/>
        <scheme val="major"/>
      </font>
      <fill>
        <patternFill patternType="solid">
          <fgColor indexed="41"/>
          <bgColor indexed="27"/>
        </patternFill>
      </fill>
      <alignment horizontal="left" vertical="center" textRotation="0" wrapText="1" indent="0" justifyLastLine="0" shrinkToFit="0" readingOrder="0"/>
      <border diagonalUp="0" diagonalDown="0" outline="0">
        <left/>
        <right style="thin">
          <color indexed="64"/>
        </right>
        <top style="dotted">
          <color theme="1" tint="0.34998626667073579"/>
        </top>
        <bottom style="dotted">
          <color theme="1" tint="0.34998626667073579"/>
        </bottom>
      </border>
    </dxf>
    <dxf>
      <font>
        <b val="0"/>
        <i val="0"/>
        <strike val="0"/>
        <condense val="0"/>
        <extend val="0"/>
        <outline val="0"/>
        <shadow val="0"/>
        <u val="none"/>
        <vertAlign val="baseline"/>
        <sz val="11"/>
        <color indexed="12"/>
        <name val="Calibri Light"/>
        <scheme val="major"/>
      </font>
      <fill>
        <patternFill patternType="solid">
          <fgColor indexed="41"/>
          <bgColor indexed="27"/>
        </patternFill>
      </fill>
      <alignment horizontal="left" vertical="center" textRotation="0" wrapText="1" indent="0" justifyLastLine="0" shrinkToFit="0" readingOrder="0"/>
      <border diagonalUp="0" diagonalDown="0" outline="0">
        <left style="thin">
          <color theme="1" tint="0.34998626667073579"/>
        </left>
        <right/>
        <top/>
        <bottom style="dotted">
          <color theme="1" tint="0.34998626667073579"/>
        </bottom>
      </border>
    </dxf>
    <dxf>
      <font>
        <b val="0"/>
        <i val="0"/>
        <strike val="0"/>
        <condense val="0"/>
        <extend val="0"/>
        <outline val="0"/>
        <shadow val="0"/>
        <u val="none"/>
        <vertAlign val="baseline"/>
        <sz val="11"/>
        <color indexed="12"/>
        <name val="Calibri Light"/>
        <scheme val="major"/>
      </font>
      <fill>
        <patternFill patternType="solid">
          <fgColor indexed="41"/>
          <bgColor indexed="27"/>
        </patternFill>
      </fill>
      <alignment horizontal="left" vertical="center" textRotation="0" wrapText="1" indent="0" justifyLastLine="0" shrinkToFit="0" readingOrder="0"/>
      <border diagonalUp="0" diagonalDown="0" outline="0">
        <left style="thin">
          <color theme="1" tint="0.34998626667073579"/>
        </left>
        <right/>
        <top/>
        <bottom style="dotted">
          <color theme="1" tint="0.34998626667073579"/>
        </bottom>
      </border>
    </dxf>
    <dxf>
      <font>
        <b val="0"/>
        <i val="0"/>
        <strike val="0"/>
        <condense val="0"/>
        <extend val="0"/>
        <outline val="0"/>
        <shadow val="0"/>
        <u val="none"/>
        <vertAlign val="baseline"/>
        <sz val="11"/>
        <color indexed="12"/>
        <name val="Calibri Light"/>
        <scheme val="major"/>
      </font>
      <fill>
        <patternFill patternType="solid">
          <fgColor indexed="41"/>
          <bgColor indexed="27"/>
        </patternFill>
      </fill>
      <alignment horizontal="left" vertical="center" textRotation="0" wrapText="1" indent="0" justifyLastLine="0" shrinkToFit="0" readingOrder="0"/>
      <border diagonalUp="0" diagonalDown="0" outline="0">
        <left style="thin">
          <color theme="1" tint="0.34998626667073579"/>
        </left>
        <right/>
        <top/>
        <bottom style="dotted">
          <color theme="1" tint="0.34998626667073579"/>
        </bottom>
      </border>
    </dxf>
    <dxf>
      <font>
        <b val="0"/>
        <i val="0"/>
        <strike val="0"/>
        <condense val="0"/>
        <extend val="0"/>
        <outline val="0"/>
        <shadow val="0"/>
        <u val="none"/>
        <vertAlign val="baseline"/>
        <sz val="11"/>
        <color indexed="12"/>
        <name val="Calibri Light"/>
        <scheme val="major"/>
      </font>
      <fill>
        <patternFill patternType="none">
          <fgColor indexed="64"/>
          <bgColor indexed="65"/>
        </patternFill>
      </fill>
      <alignment horizontal="left" vertical="center" textRotation="0" wrapText="1" indent="0" justifyLastLine="0" shrinkToFit="0" readingOrder="0"/>
      <border diagonalUp="0" diagonalDown="0" outline="0">
        <left style="thin">
          <color theme="1" tint="0.34998626667073579"/>
        </left>
        <right style="thin">
          <color theme="1" tint="0.34998626667073579"/>
        </right>
        <top style="dotted">
          <color theme="1" tint="0.34998626667073579"/>
        </top>
        <bottom style="dotted">
          <color theme="1" tint="0.34998626667073579"/>
        </bottom>
      </border>
    </dxf>
    <dxf>
      <font>
        <b val="0"/>
        <i val="0"/>
        <strike val="0"/>
        <condense val="0"/>
        <extend val="0"/>
        <outline val="0"/>
        <shadow val="0"/>
        <u val="none"/>
        <vertAlign val="baseline"/>
        <sz val="11"/>
        <color indexed="8"/>
        <name val="Calibri Light"/>
        <scheme val="major"/>
      </font>
      <alignment horizontal="left" vertical="center" textRotation="0" wrapText="1" indent="0" justifyLastLine="0" shrinkToFit="0" readingOrder="0"/>
      <border diagonalUp="0" diagonalDown="0" outline="0">
        <left style="thin">
          <color theme="1" tint="0.34998626667073579"/>
        </left>
        <right style="thin">
          <color theme="1" tint="0.34998626667073579"/>
        </right>
        <top/>
        <bottom/>
      </border>
    </dxf>
    <dxf>
      <font>
        <b val="0"/>
        <i val="0"/>
        <strike val="0"/>
        <condense val="0"/>
        <extend val="0"/>
        <outline val="0"/>
        <shadow val="0"/>
        <u val="none"/>
        <vertAlign val="baseline"/>
        <sz val="11"/>
        <color indexed="8"/>
        <name val="Calibri Light"/>
        <scheme val="major"/>
      </font>
      <alignment horizontal="left" vertical="center" textRotation="0" wrapText="1" indent="0" justifyLastLine="0" shrinkToFit="0" readingOrder="0"/>
      <border diagonalUp="0" diagonalDown="0" outline="0">
        <left style="thin">
          <color theme="1" tint="0.34998626667073579"/>
        </left>
        <right style="thin">
          <color theme="1" tint="0.34998626667073579"/>
        </right>
        <top/>
        <bottom/>
      </border>
    </dxf>
    <dxf>
      <font>
        <b val="0"/>
        <i val="0"/>
        <strike val="0"/>
        <condense val="0"/>
        <extend val="0"/>
        <outline val="0"/>
        <shadow val="0"/>
        <u val="none"/>
        <vertAlign val="baseline"/>
        <sz val="11"/>
        <color indexed="8"/>
        <name val="Calibri Light"/>
        <scheme val="major"/>
      </font>
      <alignment horizontal="left" vertical="center" textRotation="0" wrapText="1" indent="0" justifyLastLine="0" shrinkToFit="0" readingOrder="0"/>
      <border diagonalUp="0" diagonalDown="0" outline="0">
        <left style="thin">
          <color theme="1" tint="0.34998626667073579"/>
        </left>
        <right style="thin">
          <color theme="1" tint="0.34998626667073579"/>
        </right>
        <top style="dotted">
          <color theme="1" tint="0.34998626667073579"/>
        </top>
        <bottom style="dotted">
          <color theme="1" tint="0.34998626667073579"/>
        </bottom>
      </border>
    </dxf>
    <dxf>
      <font>
        <b val="0"/>
        <i val="0"/>
        <strike val="0"/>
        <condense val="0"/>
        <extend val="0"/>
        <outline val="0"/>
        <shadow val="0"/>
        <u val="none"/>
        <vertAlign val="baseline"/>
        <sz val="11"/>
        <color auto="1"/>
        <name val="Calibri Light"/>
        <scheme val="major"/>
      </font>
      <alignment horizontal="left" vertical="center" textRotation="0" wrapText="1" indent="0" justifyLastLine="0" shrinkToFit="0" readingOrder="0"/>
      <border diagonalUp="0" diagonalDown="0" outline="0">
        <left style="thin">
          <color theme="1" tint="0.34998626667073579"/>
        </left>
        <right style="thin">
          <color theme="1" tint="0.34998626667073579"/>
        </right>
        <top/>
        <bottom style="dotted">
          <color theme="1" tint="0.34998626667073579"/>
        </bottom>
      </border>
    </dxf>
    <dxf>
      <border outline="0">
        <bottom style="thin">
          <color indexed="64"/>
        </bottom>
      </border>
    </dxf>
    <dxf>
      <alignment horizontal="left" textRotation="0" wrapText="1" indent="0" justifyLastLine="0" shrinkToFit="0" readingOrder="0"/>
    </dxf>
    <dxf>
      <font>
        <b val="0"/>
        <i val="0"/>
        <strike val="0"/>
        <condense val="0"/>
        <extend val="0"/>
        <outline val="0"/>
        <shadow val="0"/>
        <u val="none"/>
        <vertAlign val="baseline"/>
        <sz val="14"/>
        <color indexed="9"/>
        <name val="Calibri Light"/>
        <scheme val="major"/>
      </font>
      <fill>
        <patternFill patternType="solid">
          <fgColor indexed="39"/>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s>
  <tableStyles count="0" defaultTableStyle="TableStyleMedium2" defaultPivotStyle="PivotStyleLight16"/>
  <colors>
    <mruColors>
      <color rgb="FFFF3300"/>
      <color rgb="FFCCFFCC"/>
      <color rgb="FF820019"/>
      <color rgb="FFBFBFBF"/>
      <color rgb="FFBF0000"/>
      <color rgb="FFFF6600"/>
      <color rgb="FF203864"/>
      <color rgb="FFFFFFCC"/>
      <color rgb="FF99FF99"/>
      <color rgb="FFEEEE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s-CL"/>
              <a:t>Incidencias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ofPieChart>
        <c:ofPieType val="bar"/>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1462-4C2E-A5CF-38A2AB85DFA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1462-4C2E-A5CF-38A2AB85DFA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1462-4C2E-A5CF-38A2AB85DFA7}"/>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1462-4C2E-A5CF-38A2AB85DFA7}"/>
              </c:ext>
            </c:extLst>
          </c:dPt>
          <c:dPt>
            <c:idx val="4"/>
            <c:bubble3D val="0"/>
            <c:spPr>
              <a:solidFill>
                <a:srgbClr val="0070C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1462-4C2E-A5CF-38A2AB85DFA7}"/>
              </c:ext>
            </c:extLst>
          </c:dPt>
          <c:dPt>
            <c:idx val="5"/>
            <c:bubble3D val="0"/>
            <c:spPr>
              <a:solidFill>
                <a:srgbClr val="C0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1462-4C2E-A5CF-38A2AB85DFA7}"/>
              </c:ext>
            </c:extLst>
          </c:dPt>
          <c:dLbls>
            <c:dLbl>
              <c:idx val="0"/>
              <c:layout>
                <c:manualLayout>
                  <c:x val="0.13823770491803278"/>
                  <c:y val="4.5812035546466748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462-4C2E-A5CF-38A2AB85DFA7}"/>
                </c:ext>
              </c:extLst>
            </c:dLbl>
            <c:dLbl>
              <c:idx val="1"/>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1"/>
              <c:showBubbleSize val="0"/>
              <c:extLst>
                <c:ext xmlns:c16="http://schemas.microsoft.com/office/drawing/2014/chart" uri="{C3380CC4-5D6E-409C-BE32-E72D297353CC}">
                  <c16:uniqueId val="{00000003-1462-4C2E-A5CF-38A2AB85DFA7}"/>
                </c:ext>
              </c:extLst>
            </c:dLbl>
            <c:dLbl>
              <c:idx val="4"/>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1"/>
              <c:showBubbleSize val="0"/>
              <c:extLst>
                <c:ext xmlns:c16="http://schemas.microsoft.com/office/drawing/2014/chart" uri="{C3380CC4-5D6E-409C-BE32-E72D297353CC}">
                  <c16:uniqueId val="{00000009-1462-4C2E-A5CF-38A2AB85DFA7}"/>
                </c:ext>
              </c:extLst>
            </c:dLbl>
            <c:dLbl>
              <c:idx val="5"/>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1"/>
              <c:showBubbleSize val="0"/>
              <c:extLst>
                <c:ext xmlns:c16="http://schemas.microsoft.com/office/drawing/2014/chart" uri="{C3380CC4-5D6E-409C-BE32-E72D297353CC}">
                  <c16:uniqueId val="{0000000B-1462-4C2E-A5CF-38A2AB85DFA7}"/>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'Incidencias (graf)'!$F$5:$F$9</c:f>
              <c:strCache>
                <c:ptCount val="3"/>
                <c:pt idx="0">
                  <c:v>Cerradas</c:v>
                </c:pt>
                <c:pt idx="1">
                  <c:v>Difarma</c:v>
                </c:pt>
                <c:pt idx="2">
                  <c:v>Perfaware</c:v>
                </c:pt>
              </c:strCache>
            </c:strRef>
          </c:cat>
          <c:val>
            <c:numRef>
              <c:f>'Incidencias (graf)'!$G$5:$G$9</c:f>
              <c:numCache>
                <c:formatCode>General</c:formatCode>
                <c:ptCount val="5"/>
                <c:pt idx="0">
                  <c:v>0</c:v>
                </c:pt>
                <c:pt idx="1">
                  <c:v>0</c:v>
                </c:pt>
                <c:pt idx="2">
                  <c:v>0</c:v>
                </c:pt>
              </c:numCache>
            </c:numRef>
          </c:val>
          <c:extLst>
            <c:ext xmlns:c16="http://schemas.microsoft.com/office/drawing/2014/chart" uri="{C3380CC4-5D6E-409C-BE32-E72D297353CC}">
              <c16:uniqueId val="{0000000A-1462-4C2E-A5CF-38A2AB85DFA7}"/>
            </c:ext>
          </c:extLst>
        </c:ser>
        <c:dLbls>
          <c:dLblPos val="inEnd"/>
          <c:showLegendKey val="0"/>
          <c:showVal val="0"/>
          <c:showCatName val="0"/>
          <c:showSerName val="0"/>
          <c:showPercent val="1"/>
          <c:showBubbleSize val="0"/>
          <c:showLeaderLines val="1"/>
        </c:dLbls>
        <c:gapWidth val="100"/>
        <c:splitType val="pos"/>
        <c:splitPos val="4"/>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b"/>
      <c:legendEntry>
        <c:idx val="0"/>
        <c:delete val="1"/>
      </c:legendEntry>
      <c:layout>
        <c:manualLayout>
          <c:xMode val="edge"/>
          <c:yMode val="edge"/>
          <c:x val="0.37039367030965392"/>
          <c:y val="0.91275840595103919"/>
          <c:w val="0.62466826047358837"/>
          <c:h val="7.9220757550475571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s-MX" sz="1680" b="0" i="0" u="none" strike="noStrike" kern="1200" baseline="0">
                <a:solidFill>
                  <a:schemeClr val="tx1"/>
                </a:solidFill>
                <a:latin typeface="+mn-lt"/>
                <a:ea typeface="+mn-ea"/>
                <a:cs typeface="+mn-cs"/>
              </a:defRPr>
            </a:pPr>
            <a:r>
              <a:rPr lang="es-CL"/>
              <a:t>TOTAL Incidencias  </a:t>
            </a:r>
          </a:p>
        </c:rich>
      </c:tx>
      <c:overlay val="0"/>
      <c:spPr>
        <a:noFill/>
        <a:ln>
          <a:noFill/>
        </a:ln>
        <a:effectLst/>
      </c:spPr>
      <c:txPr>
        <a:bodyPr rot="0" spcFirstLastPara="1" vertOverflow="ellipsis" vert="horz" wrap="square" anchor="ctr" anchorCtr="1"/>
        <a:lstStyle/>
        <a:p>
          <a:pPr>
            <a:defRPr lang="es-MX" sz="1680" b="0" i="0" u="none" strike="noStrike" kern="1200" baseline="0">
              <a:solidFill>
                <a:schemeClr val="tx1"/>
              </a:solidFill>
              <a:latin typeface="+mn-lt"/>
              <a:ea typeface="+mn-ea"/>
              <a:cs typeface="+mn-cs"/>
            </a:defRPr>
          </a:pPr>
          <a:endParaRPr lang="en-US"/>
        </a:p>
      </c:txPr>
    </c:title>
    <c:autoTitleDeleted val="0"/>
    <c:plotArea>
      <c:layout>
        <c:manualLayout>
          <c:layoutTarget val="inner"/>
          <c:xMode val="edge"/>
          <c:yMode val="edge"/>
          <c:x val="5.9608378870673953E-2"/>
          <c:y val="0.14489836601307191"/>
          <c:w val="0.90569216757741344"/>
          <c:h val="0.67528267973856204"/>
        </c:manualLayout>
      </c:layout>
      <c:ofPieChart>
        <c:ofPieType val="bar"/>
        <c:varyColors val="1"/>
        <c:ser>
          <c:idx val="0"/>
          <c:order val="0"/>
          <c:spPr>
            <a:scene3d>
              <a:camera prst="orthographicFront"/>
              <a:lightRig rig="threePt" dir="t"/>
            </a:scene3d>
            <a:sp3d>
              <a:bevelT/>
            </a:sp3d>
          </c:spPr>
          <c:dPt>
            <c:idx val="0"/>
            <c:bubble3D val="0"/>
            <c:spPr>
              <a:solidFill>
                <a:srgbClr val="203864"/>
              </a:solidFill>
              <a:ln>
                <a:noFill/>
              </a:ln>
              <a:effectLst>
                <a:outerShdw blurRad="57150" dist="19050" dir="5400000" algn="ctr" rotWithShape="0">
                  <a:srgbClr val="000000">
                    <a:alpha val="63000"/>
                  </a:srgbClr>
                </a:outerShdw>
              </a:effectLst>
              <a:scene3d>
                <a:camera prst="orthographicFront"/>
                <a:lightRig rig="threePt" dir="t"/>
              </a:scene3d>
              <a:sp3d>
                <a:bevelT/>
              </a:sp3d>
            </c:spPr>
            <c:extLst>
              <c:ext xmlns:c16="http://schemas.microsoft.com/office/drawing/2014/chart" uri="{C3380CC4-5D6E-409C-BE32-E72D297353CC}">
                <c16:uniqueId val="{00000001-621B-4750-A190-D031D1914DE9}"/>
              </c:ext>
            </c:extLst>
          </c:dPt>
          <c:dPt>
            <c:idx val="1"/>
            <c:bubble3D val="0"/>
            <c:spPr>
              <a:solidFill>
                <a:srgbClr val="FF0000"/>
              </a:solidFill>
              <a:ln>
                <a:noFill/>
              </a:ln>
              <a:effectLst>
                <a:outerShdw blurRad="57150" dist="19050" dir="5400000" algn="ctr" rotWithShape="0">
                  <a:srgbClr val="000000">
                    <a:alpha val="63000"/>
                  </a:srgbClr>
                </a:outerShdw>
              </a:effectLst>
              <a:scene3d>
                <a:camera prst="orthographicFront"/>
                <a:lightRig rig="threePt" dir="t"/>
              </a:scene3d>
              <a:sp3d>
                <a:bevelT/>
              </a:sp3d>
            </c:spPr>
            <c:extLst>
              <c:ext xmlns:c16="http://schemas.microsoft.com/office/drawing/2014/chart" uri="{C3380CC4-5D6E-409C-BE32-E72D297353CC}">
                <c16:uniqueId val="{00000003-621B-4750-A190-D031D1914DE9}"/>
              </c:ext>
            </c:extLst>
          </c:dPt>
          <c:dPt>
            <c:idx val="2"/>
            <c:bubble3D val="0"/>
            <c:spPr>
              <a:solidFill>
                <a:srgbClr val="FF6600"/>
              </a:solidFill>
              <a:ln>
                <a:noFill/>
              </a:ln>
              <a:effectLst>
                <a:outerShdw blurRad="57150" dist="19050" dir="5400000" algn="ctr" rotWithShape="0">
                  <a:srgbClr val="000000">
                    <a:alpha val="63000"/>
                  </a:srgbClr>
                </a:outerShdw>
              </a:effectLst>
              <a:scene3d>
                <a:camera prst="orthographicFront"/>
                <a:lightRig rig="threePt" dir="t"/>
              </a:scene3d>
              <a:sp3d>
                <a:bevelT/>
              </a:sp3d>
            </c:spPr>
            <c:extLst>
              <c:ext xmlns:c16="http://schemas.microsoft.com/office/drawing/2014/chart" uri="{C3380CC4-5D6E-409C-BE32-E72D297353CC}">
                <c16:uniqueId val="{00000005-621B-4750-A190-D031D1914DE9}"/>
              </c:ext>
            </c:extLst>
          </c:dPt>
          <c:dPt>
            <c:idx val="3"/>
            <c:bubble3D val="0"/>
            <c:spPr>
              <a:solidFill>
                <a:srgbClr val="BFBFBF"/>
              </a:solidFill>
              <a:ln>
                <a:noFill/>
              </a:ln>
              <a:effectLst>
                <a:outerShdw blurRad="57150" dist="19050" dir="5400000" algn="ctr" rotWithShape="0">
                  <a:srgbClr val="000000">
                    <a:alpha val="63000"/>
                  </a:srgbClr>
                </a:outerShdw>
              </a:effectLst>
              <a:scene3d>
                <a:camera prst="orthographicFront"/>
                <a:lightRig rig="threePt" dir="t"/>
              </a:scene3d>
              <a:sp3d>
                <a:bevelT/>
              </a:sp3d>
            </c:spPr>
            <c:extLst>
              <c:ext xmlns:c16="http://schemas.microsoft.com/office/drawing/2014/chart" uri="{C3380CC4-5D6E-409C-BE32-E72D297353CC}">
                <c16:uniqueId val="{00000007-621B-4750-A190-D031D1914DE9}"/>
              </c:ext>
            </c:extLst>
          </c:dPt>
          <c:dPt>
            <c:idx val="4"/>
            <c:bubble3D val="0"/>
            <c:spPr>
              <a:solidFill>
                <a:srgbClr val="820019"/>
              </a:solidFill>
              <a:ln>
                <a:noFill/>
              </a:ln>
              <a:effectLst>
                <a:outerShdw blurRad="57150" dist="19050" dir="5400000" algn="ctr" rotWithShape="0">
                  <a:srgbClr val="000000">
                    <a:alpha val="63000"/>
                  </a:srgbClr>
                </a:outerShdw>
              </a:effectLst>
              <a:scene3d>
                <a:camera prst="orthographicFront"/>
                <a:lightRig rig="threePt" dir="t"/>
              </a:scene3d>
              <a:sp3d>
                <a:bevelT/>
              </a:sp3d>
            </c:spPr>
            <c:extLst>
              <c:ext xmlns:c16="http://schemas.microsoft.com/office/drawing/2014/chart" uri="{C3380CC4-5D6E-409C-BE32-E72D297353CC}">
                <c16:uniqueId val="{00000009-621B-4750-A190-D031D1914DE9}"/>
              </c:ext>
            </c:extLst>
          </c:dPt>
          <c:dLbls>
            <c:dLbl>
              <c:idx val="0"/>
              <c:tx>
                <c:rich>
                  <a:bodyPr/>
                  <a:lstStyle/>
                  <a:p>
                    <a:fld id="{A2FD8CB7-43BB-49F9-AB74-EC73B0E03798}" type="PERCENTAGE">
                      <a:rPr lang="en-US">
                        <a:solidFill>
                          <a:sysClr val="windowText" lastClr="000000"/>
                        </a:solidFill>
                      </a:rPr>
                      <a:pPr/>
                      <a:t>[PORCENTAJE]</a:t>
                    </a:fld>
                    <a:endParaRPr lang="en-US"/>
                  </a:p>
                </c:rich>
              </c:tx>
              <c:dLblPos val="outEnd"/>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621B-4750-A190-D031D1914DE9}"/>
                </c:ext>
              </c:extLst>
            </c:dLbl>
            <c:dLbl>
              <c:idx val="4"/>
              <c:tx>
                <c:rich>
                  <a:bodyPr/>
                  <a:lstStyle/>
                  <a:p>
                    <a:fld id="{79A6E4D7-B0C6-4A17-B0A1-FDBD56248691}" type="PERCENTAGE">
                      <a:rPr lang="en-US">
                        <a:solidFill>
                          <a:schemeClr val="bg1"/>
                        </a:solidFill>
                      </a:rPr>
                      <a:pPr/>
                      <a:t>[PORCENTAJE]</a:t>
                    </a:fld>
                    <a:endParaRPr lang="en-US"/>
                  </a:p>
                </c:rich>
              </c:tx>
              <c:dLblPos val="outEnd"/>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9-621B-4750-A190-D031D1914DE9}"/>
                </c:ext>
              </c:extLst>
            </c:dLbl>
            <c:spPr>
              <a:noFill/>
              <a:ln>
                <a:noFill/>
              </a:ln>
              <a:effectLst/>
            </c:spPr>
            <c:txPr>
              <a:bodyPr rot="0" spcFirstLastPara="1" vertOverflow="ellipsis" vert="horz" wrap="square" anchor="ctr" anchorCtr="1"/>
              <a:lstStyle/>
              <a:p>
                <a:pPr>
                  <a:defRPr lang="es-MX" sz="1400" b="0" i="0" u="none" strike="noStrike" kern="1200" baseline="0">
                    <a:solidFill>
                      <a:sysClr val="windowText" lastClr="000000"/>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 Dif-IBM'!$A$5:$A$8</c:f>
              <c:strCache>
                <c:ptCount val="4"/>
                <c:pt idx="0">
                  <c:v>Cerradas</c:v>
                </c:pt>
                <c:pt idx="1">
                  <c:v>Fallo</c:v>
                </c:pt>
                <c:pt idx="2">
                  <c:v>Mayor</c:v>
                </c:pt>
                <c:pt idx="3">
                  <c:v>Menor</c:v>
                </c:pt>
              </c:strCache>
            </c:strRef>
          </c:cat>
          <c:val>
            <c:numRef>
              <c:f>'Gráficas Dif-IBM'!$B$5:$B$8</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A-621B-4750-A190-D031D1914DE9}"/>
            </c:ext>
          </c:extLst>
        </c:ser>
        <c:dLbls>
          <c:dLblPos val="inEnd"/>
          <c:showLegendKey val="0"/>
          <c:showVal val="0"/>
          <c:showCatName val="0"/>
          <c:showSerName val="0"/>
          <c:showPercent val="1"/>
          <c:showBubbleSize val="0"/>
          <c:showLeaderLines val="1"/>
        </c:dLbls>
        <c:gapWidth val="100"/>
        <c:splitType val="pos"/>
        <c:splitPos val="3"/>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b"/>
      <c:legendEntry>
        <c:idx val="0"/>
        <c:delete val="1"/>
      </c:legendEntry>
      <c:layout>
        <c:manualLayout>
          <c:xMode val="edge"/>
          <c:yMode val="edge"/>
          <c:x val="0.12749749544626593"/>
          <c:y val="0.87514607843137271"/>
          <c:w val="0.76635769581056468"/>
          <c:h val="7.9220757550475571E-2"/>
        </c:manualLayout>
      </c:layout>
      <c:overlay val="0"/>
      <c:spPr>
        <a:noFill/>
        <a:ln>
          <a:noFill/>
        </a:ln>
        <a:effectLst/>
      </c:spPr>
      <c:txPr>
        <a:bodyPr rot="0" spcFirstLastPara="1" vertOverflow="ellipsis" vert="horz" wrap="square" anchor="ctr" anchorCtr="1"/>
        <a:lstStyle/>
        <a:p>
          <a:pPr>
            <a:defRPr lang="es-MX" sz="14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lang="es-MX" sz="14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MX" sz="1600"/>
              <a:t>Incidencias Abiertas por Responsable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2"/>
          <c:order val="0"/>
          <c:tx>
            <c:strRef>
              <c:f>'Gráficas Dif-IBM'!$B$13</c:f>
              <c:strCache>
                <c:ptCount val="1"/>
                <c:pt idx="0">
                  <c:v>Menor</c:v>
                </c:pt>
              </c:strCache>
            </c:strRef>
          </c:tx>
          <c:spPr>
            <a:solidFill>
              <a:schemeClr val="accent3"/>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 Dif-IBM'!$C$2:$D$2</c:f>
              <c:strCache>
                <c:ptCount val="2"/>
                <c:pt idx="0">
                  <c:v>DIFARMA</c:v>
                </c:pt>
                <c:pt idx="1">
                  <c:v>PERFAWARE</c:v>
                </c:pt>
              </c:strCache>
            </c:strRef>
          </c:cat>
          <c:val>
            <c:numRef>
              <c:f>'Gráficas Dif-IBM'!$C$13:$D$13</c:f>
              <c:numCache>
                <c:formatCode>0%</c:formatCode>
                <c:ptCount val="2"/>
                <c:pt idx="0">
                  <c:v>0</c:v>
                </c:pt>
                <c:pt idx="1">
                  <c:v>0</c:v>
                </c:pt>
              </c:numCache>
            </c:numRef>
          </c:val>
          <c:extLst>
            <c:ext xmlns:c16="http://schemas.microsoft.com/office/drawing/2014/chart" uri="{C3380CC4-5D6E-409C-BE32-E72D297353CC}">
              <c16:uniqueId val="{00000004-ACD9-4484-911A-C865A2B942D4}"/>
            </c:ext>
          </c:extLst>
        </c:ser>
        <c:ser>
          <c:idx val="1"/>
          <c:order val="1"/>
          <c:tx>
            <c:strRef>
              <c:f>'Gráficas Dif-IBM'!$B$12</c:f>
              <c:strCache>
                <c:ptCount val="1"/>
                <c:pt idx="0">
                  <c:v>Mayor</c:v>
                </c:pt>
              </c:strCache>
            </c:strRef>
          </c:tx>
          <c:spPr>
            <a:solidFill>
              <a:schemeClr val="accent2"/>
            </a:solidFill>
            <a:ln>
              <a:noFill/>
            </a:ln>
            <a:effectLst/>
            <a:scene3d>
              <a:camera prst="orthographicFront"/>
              <a:lightRig rig="threePt" dir="t"/>
            </a:scene3d>
            <a:sp3d>
              <a:bevelT/>
            </a:sp3d>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 Dif-IBM'!$C$2:$D$2</c:f>
              <c:strCache>
                <c:ptCount val="2"/>
                <c:pt idx="0">
                  <c:v>DIFARMA</c:v>
                </c:pt>
                <c:pt idx="1">
                  <c:v>PERFAWARE</c:v>
                </c:pt>
              </c:strCache>
            </c:strRef>
          </c:cat>
          <c:val>
            <c:numRef>
              <c:f>'Gráficas Dif-IBM'!$C$12:$D$12</c:f>
              <c:numCache>
                <c:formatCode>0%</c:formatCode>
                <c:ptCount val="2"/>
                <c:pt idx="0">
                  <c:v>0</c:v>
                </c:pt>
                <c:pt idx="1">
                  <c:v>0</c:v>
                </c:pt>
              </c:numCache>
            </c:numRef>
          </c:val>
          <c:extLst>
            <c:ext xmlns:c16="http://schemas.microsoft.com/office/drawing/2014/chart" uri="{C3380CC4-5D6E-409C-BE32-E72D297353CC}">
              <c16:uniqueId val="{00000001-ACD9-4484-911A-C865A2B942D4}"/>
            </c:ext>
          </c:extLst>
        </c:ser>
        <c:ser>
          <c:idx val="0"/>
          <c:order val="2"/>
          <c:tx>
            <c:strRef>
              <c:f>'Gráficas Dif-IBM'!$B$11</c:f>
              <c:strCache>
                <c:ptCount val="1"/>
                <c:pt idx="0">
                  <c:v>Fallo</c:v>
                </c:pt>
              </c:strCache>
            </c:strRef>
          </c:tx>
          <c:spPr>
            <a:solidFill>
              <a:srgbClr val="FF0000"/>
            </a:solidFill>
            <a:ln>
              <a:noFill/>
            </a:ln>
            <a:effectLst/>
            <a:scene3d>
              <a:camera prst="orthographicFront"/>
              <a:lightRig rig="threePt" dir="t"/>
            </a:scene3d>
            <a:sp3d>
              <a:bevelT/>
            </a:sp3d>
          </c:spPr>
          <c:invertIfNegative val="0"/>
          <c:dLbls>
            <c:dLbl>
              <c:idx val="0"/>
              <c:layout>
                <c:manualLayout>
                  <c:x val="0.11945702208693645"/>
                  <c:y val="-2.5034767772960435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D9-4484-911A-C865A2B942D4}"/>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 Dif-IBM'!$C$2:$D$2</c:f>
              <c:strCache>
                <c:ptCount val="2"/>
                <c:pt idx="0">
                  <c:v>DIFARMA</c:v>
                </c:pt>
                <c:pt idx="1">
                  <c:v>PERFAWARE</c:v>
                </c:pt>
              </c:strCache>
            </c:strRef>
          </c:cat>
          <c:val>
            <c:numRef>
              <c:f>'Gráficas Dif-IBM'!$C$11:$D$11</c:f>
              <c:numCache>
                <c:formatCode>0%</c:formatCode>
                <c:ptCount val="2"/>
                <c:pt idx="0">
                  <c:v>0</c:v>
                </c:pt>
                <c:pt idx="1">
                  <c:v>0</c:v>
                </c:pt>
              </c:numCache>
            </c:numRef>
          </c:val>
          <c:extLst>
            <c:ext xmlns:c16="http://schemas.microsoft.com/office/drawing/2014/chart" uri="{C3380CC4-5D6E-409C-BE32-E72D297353CC}">
              <c16:uniqueId val="{00000000-ACD9-4484-911A-C865A2B942D4}"/>
            </c:ext>
          </c:extLst>
        </c:ser>
        <c:dLbls>
          <c:dLblPos val="ctr"/>
          <c:showLegendKey val="0"/>
          <c:showVal val="1"/>
          <c:showCatName val="0"/>
          <c:showSerName val="0"/>
          <c:showPercent val="0"/>
          <c:showBubbleSize val="0"/>
        </c:dLbls>
        <c:gapWidth val="150"/>
        <c:overlap val="100"/>
        <c:axId val="1096982127"/>
        <c:axId val="657246015"/>
      </c:barChart>
      <c:catAx>
        <c:axId val="109698212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657246015"/>
        <c:crosses val="autoZero"/>
        <c:auto val="1"/>
        <c:lblAlgn val="ctr"/>
        <c:lblOffset val="100"/>
        <c:noMultiLvlLbl val="0"/>
      </c:catAx>
      <c:valAx>
        <c:axId val="6572460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0969821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s-CL" sz="1600" b="1"/>
              <a:t>Casos de Pruebas</a:t>
            </a:r>
          </a:p>
        </c:rich>
      </c:tx>
      <c:layout>
        <c:manualLayout>
          <c:xMode val="edge"/>
          <c:yMode val="edge"/>
          <c:x val="0.34232200482950509"/>
          <c:y val="0"/>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63888888888888E-2"/>
          <c:y val="0.10655617639521993"/>
          <c:w val="0.88082537400667238"/>
          <c:h val="0.72508960961914204"/>
        </c:manualLayout>
      </c:layout>
      <c:pieChart>
        <c:varyColors val="1"/>
        <c:ser>
          <c:idx val="0"/>
          <c:order val="0"/>
          <c:dPt>
            <c:idx val="0"/>
            <c:bubble3D val="0"/>
            <c:spPr>
              <a:solidFill>
                <a:srgbClr val="203264"/>
              </a:soli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1-DDF7-4FC0-80A2-0A6E81A7610A}"/>
              </c:ext>
            </c:extLst>
          </c:dPt>
          <c:dPt>
            <c:idx val="1"/>
            <c:bubble3D val="0"/>
            <c:spPr>
              <a:solidFill>
                <a:srgbClr val="820019"/>
              </a:solidFill>
              <a:ln w="19050">
                <a:solidFill>
                  <a:schemeClr val="lt1"/>
                </a:solidFill>
              </a:ln>
              <a:effectLst/>
              <a:scene3d>
                <a:camera prst="orthographicFront"/>
                <a:lightRig rig="threePt" dir="t"/>
              </a:scene3d>
              <a:sp3d>
                <a:bevelT/>
              </a:sp3d>
            </c:spPr>
            <c:extLst>
              <c:ext xmlns:c16="http://schemas.microsoft.com/office/drawing/2014/chart" uri="{C3380CC4-5D6E-409C-BE32-E72D297353CC}">
                <c16:uniqueId val="{00000003-DDF7-4FC0-80A2-0A6E81A7610A}"/>
              </c:ext>
            </c:extLst>
          </c:dPt>
          <c:dLbls>
            <c:dLbl>
              <c:idx val="0"/>
              <c:tx>
                <c:rich>
                  <a:bodyPr/>
                  <a:lstStyle/>
                  <a:p>
                    <a:fld id="{9DD99F44-33DA-4C2B-AFB7-4AAA7FF77D67}" type="PERCENTAGE">
                      <a:rPr lang="en-US">
                        <a:solidFill>
                          <a:sysClr val="windowText" lastClr="000000"/>
                        </a:solidFill>
                      </a:rPr>
                      <a:pPr/>
                      <a:t>[PORCENTAJE]</a:t>
                    </a:fld>
                    <a:endParaRPr lang="en-US"/>
                  </a:p>
                </c:rich>
              </c:tx>
              <c:dLblPos val="outEnd"/>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DDF7-4FC0-80A2-0A6E81A7610A}"/>
                </c:ext>
              </c:extLst>
            </c:dLbl>
            <c:dLbl>
              <c:idx val="1"/>
              <c:tx>
                <c:rich>
                  <a:bodyPr/>
                  <a:lstStyle/>
                  <a:p>
                    <a:fld id="{D8A979F2-5D39-4CAA-BC87-3878EA99EE4F}" type="PERCENTAGE">
                      <a:rPr lang="en-US">
                        <a:solidFill>
                          <a:sysClr val="windowText" lastClr="000000"/>
                        </a:solidFill>
                      </a:rPr>
                      <a:pPr/>
                      <a:t>[PORCENTAJE]</a:t>
                    </a:fld>
                    <a:endParaRPr lang="en-US"/>
                  </a:p>
                </c:rich>
              </c:tx>
              <c:dLblPos val="outEnd"/>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DDF7-4FC0-80A2-0A6E81A7610A}"/>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1"/>
            <c:showBubbleSize val="0"/>
            <c:showLeaderLines val="0"/>
            <c:extLst>
              <c:ext xmlns:c15="http://schemas.microsoft.com/office/drawing/2012/chart" uri="{CE6537A1-D6FC-4f65-9D91-7224C49458BB}"/>
            </c:extLst>
          </c:dLbls>
          <c:cat>
            <c:strRef>
              <c:f>'Gráficas Dif-IBM'!$A$27:$A$28</c:f>
              <c:strCache>
                <c:ptCount val="2"/>
                <c:pt idx="0">
                  <c:v>Ejecutados</c:v>
                </c:pt>
                <c:pt idx="1">
                  <c:v>No ejecutados</c:v>
                </c:pt>
              </c:strCache>
            </c:strRef>
          </c:cat>
          <c:val>
            <c:numRef>
              <c:f>'Gráficas Dif-IBM'!$B$27:$B$28</c:f>
              <c:numCache>
                <c:formatCode>General</c:formatCode>
                <c:ptCount val="2"/>
                <c:pt idx="0">
                  <c:v>0</c:v>
                </c:pt>
                <c:pt idx="1">
                  <c:v>0</c:v>
                </c:pt>
              </c:numCache>
            </c:numRef>
          </c:val>
          <c:extLst>
            <c:ext xmlns:c16="http://schemas.microsoft.com/office/drawing/2014/chart" uri="{C3380CC4-5D6E-409C-BE32-E72D297353CC}">
              <c16:uniqueId val="{0000000A-DDF7-4FC0-80A2-0A6E81A7610A}"/>
            </c:ext>
          </c:extLst>
        </c:ser>
        <c:dLbls>
          <c:dLblPos val="inEnd"/>
          <c:showLegendKey val="0"/>
          <c:showVal val="1"/>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1400"/>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3308010553439623E-2"/>
          <c:y val="8.758950855344623E-2"/>
          <c:w val="0.91930081751515091"/>
          <c:h val="0.716836176727909"/>
        </c:manualLayout>
      </c:layout>
      <c:lineChart>
        <c:grouping val="standard"/>
        <c:varyColors val="0"/>
        <c:ser>
          <c:idx val="1"/>
          <c:order val="0"/>
          <c:tx>
            <c:strRef>
              <c:f>'Curva de Avance'!$A$10</c:f>
              <c:strCache>
                <c:ptCount val="1"/>
                <c:pt idx="0">
                  <c:v>Avance Plan</c:v>
                </c:pt>
              </c:strCache>
            </c:strRef>
          </c:tx>
          <c:spPr>
            <a:ln w="12700" cap="rnd">
              <a:solidFill>
                <a:schemeClr val="accent1">
                  <a:lumMod val="50000"/>
                </a:schemeClr>
              </a:solidFill>
              <a:round/>
            </a:ln>
            <a:effectLst/>
          </c:spPr>
          <c:marker>
            <c:symbol val="diamond"/>
            <c:size val="6"/>
            <c:spPr>
              <a:solidFill>
                <a:schemeClr val="accent1"/>
              </a:solidFill>
              <a:ln w="12700">
                <a:solidFill>
                  <a:schemeClr val="accent1">
                    <a:lumMod val="50000"/>
                  </a:schemeClr>
                </a:solidFill>
              </a:ln>
              <a:effectLst/>
            </c:spPr>
          </c:marker>
          <c:cat>
            <c:numRef>
              <c:f>'Curva de Avance'!$B$1:$N$1</c:f>
              <c:numCache>
                <c:formatCode>dd/m</c:formatCode>
                <c:ptCount val="13"/>
                <c:pt idx="0">
                  <c:v>43941</c:v>
                </c:pt>
                <c:pt idx="1">
                  <c:v>43942</c:v>
                </c:pt>
                <c:pt idx="2">
                  <c:v>43943</c:v>
                </c:pt>
                <c:pt idx="3">
                  <c:v>43944</c:v>
                </c:pt>
                <c:pt idx="4">
                  <c:v>43945</c:v>
                </c:pt>
                <c:pt idx="5">
                  <c:v>43948</c:v>
                </c:pt>
                <c:pt idx="6">
                  <c:v>43949</c:v>
                </c:pt>
                <c:pt idx="7">
                  <c:v>43950</c:v>
                </c:pt>
                <c:pt idx="8">
                  <c:v>43951</c:v>
                </c:pt>
                <c:pt idx="9">
                  <c:v>43955</c:v>
                </c:pt>
                <c:pt idx="10">
                  <c:v>43956</c:v>
                </c:pt>
                <c:pt idx="11">
                  <c:v>43957</c:v>
                </c:pt>
                <c:pt idx="12">
                  <c:v>43958</c:v>
                </c:pt>
              </c:numCache>
            </c:numRef>
          </c:cat>
          <c:val>
            <c:numRef>
              <c:f>'Curva de Avance'!$B$10:$L$10</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0-1708-4CB3-855A-513C64430CF4}"/>
            </c:ext>
          </c:extLst>
        </c:ser>
        <c:ser>
          <c:idx val="3"/>
          <c:order val="1"/>
          <c:tx>
            <c:strRef>
              <c:f>'Curva de Avance'!$A$11</c:f>
              <c:strCache>
                <c:ptCount val="1"/>
                <c:pt idx="0">
                  <c:v>Avance Real</c:v>
                </c:pt>
              </c:strCache>
            </c:strRef>
          </c:tx>
          <c:spPr>
            <a:ln w="19050" cap="rnd">
              <a:solidFill>
                <a:schemeClr val="accent4">
                  <a:lumMod val="60000"/>
                  <a:lumOff val="40000"/>
                </a:schemeClr>
              </a:solidFill>
              <a:round/>
            </a:ln>
            <a:effectLst/>
          </c:spPr>
          <c:marker>
            <c:symbol val="diamond"/>
            <c:size val="6"/>
            <c:spPr>
              <a:solidFill>
                <a:schemeClr val="accent2">
                  <a:lumMod val="40000"/>
                  <a:lumOff val="60000"/>
                </a:schemeClr>
              </a:solidFill>
              <a:ln w="19050">
                <a:solidFill>
                  <a:schemeClr val="accent4">
                    <a:lumMod val="60000"/>
                    <a:lumOff val="40000"/>
                  </a:schemeClr>
                </a:solidFill>
              </a:ln>
              <a:effectLst/>
            </c:spPr>
          </c:marker>
          <c:cat>
            <c:numRef>
              <c:f>'Curva de Avance'!$B$1:$N$1</c:f>
              <c:numCache>
                <c:formatCode>dd/m</c:formatCode>
                <c:ptCount val="13"/>
                <c:pt idx="0">
                  <c:v>43941</c:v>
                </c:pt>
                <c:pt idx="1">
                  <c:v>43942</c:v>
                </c:pt>
                <c:pt idx="2">
                  <c:v>43943</c:v>
                </c:pt>
                <c:pt idx="3">
                  <c:v>43944</c:v>
                </c:pt>
                <c:pt idx="4">
                  <c:v>43945</c:v>
                </c:pt>
                <c:pt idx="5">
                  <c:v>43948</c:v>
                </c:pt>
                <c:pt idx="6">
                  <c:v>43949</c:v>
                </c:pt>
                <c:pt idx="7">
                  <c:v>43950</c:v>
                </c:pt>
                <c:pt idx="8">
                  <c:v>43951</c:v>
                </c:pt>
                <c:pt idx="9">
                  <c:v>43955</c:v>
                </c:pt>
                <c:pt idx="10">
                  <c:v>43956</c:v>
                </c:pt>
                <c:pt idx="11">
                  <c:v>43957</c:v>
                </c:pt>
                <c:pt idx="12">
                  <c:v>43958</c:v>
                </c:pt>
              </c:numCache>
            </c:numRef>
          </c:cat>
          <c:val>
            <c:numRef>
              <c:f>'Curva de Avance'!$B$11:$G$11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1708-4CB3-855A-513C64430CF4}"/>
            </c:ext>
          </c:extLst>
        </c:ser>
        <c:ser>
          <c:idx val="0"/>
          <c:order val="2"/>
          <c:tx>
            <c:strRef>
              <c:f>'Curva de Avance'!$A$14</c:f>
              <c:strCache>
                <c:ptCount val="1"/>
                <c:pt idx="0">
                  <c:v>Proyección</c:v>
                </c:pt>
              </c:strCache>
            </c:strRef>
          </c:tx>
          <c:spPr>
            <a:ln w="9525" cap="rnd">
              <a:solidFill>
                <a:srgbClr val="C00000"/>
              </a:solidFill>
              <a:prstDash val="dash"/>
              <a:round/>
            </a:ln>
            <a:effectLst/>
          </c:spPr>
          <c:marker>
            <c:symbol val="none"/>
          </c:marker>
          <c:cat>
            <c:numRef>
              <c:f>'Curva de Avance'!$B$1:$N$1</c:f>
              <c:numCache>
                <c:formatCode>dd/m</c:formatCode>
                <c:ptCount val="13"/>
                <c:pt idx="0">
                  <c:v>43941</c:v>
                </c:pt>
                <c:pt idx="1">
                  <c:v>43942</c:v>
                </c:pt>
                <c:pt idx="2">
                  <c:v>43943</c:v>
                </c:pt>
                <c:pt idx="3">
                  <c:v>43944</c:v>
                </c:pt>
                <c:pt idx="4">
                  <c:v>43945</c:v>
                </c:pt>
                <c:pt idx="5">
                  <c:v>43948</c:v>
                </c:pt>
                <c:pt idx="6">
                  <c:v>43949</c:v>
                </c:pt>
                <c:pt idx="7">
                  <c:v>43950</c:v>
                </c:pt>
                <c:pt idx="8">
                  <c:v>43951</c:v>
                </c:pt>
                <c:pt idx="9">
                  <c:v>43955</c:v>
                </c:pt>
                <c:pt idx="10">
                  <c:v>43956</c:v>
                </c:pt>
                <c:pt idx="11">
                  <c:v>43957</c:v>
                </c:pt>
                <c:pt idx="12">
                  <c:v>43958</c:v>
                </c:pt>
              </c:numCache>
            </c:numRef>
          </c:cat>
          <c:val>
            <c:numRef>
              <c:f>'Curva de Avance'!$B$14:$L$14</c:f>
              <c:numCache>
                <c:formatCode>0%</c:formatCode>
                <c:ptCount val="11"/>
                <c:pt idx="5">
                  <c:v>0</c:v>
                </c:pt>
                <c:pt idx="6">
                  <c:v>0</c:v>
                </c:pt>
                <c:pt idx="7">
                  <c:v>0</c:v>
                </c:pt>
                <c:pt idx="8">
                  <c:v>0</c:v>
                </c:pt>
                <c:pt idx="9">
                  <c:v>0</c:v>
                </c:pt>
                <c:pt idx="10">
                  <c:v>0</c:v>
                </c:pt>
              </c:numCache>
            </c:numRef>
          </c:val>
          <c:smooth val="0"/>
          <c:extLst>
            <c:ext xmlns:c16="http://schemas.microsoft.com/office/drawing/2014/chart" uri="{C3380CC4-5D6E-409C-BE32-E72D297353CC}">
              <c16:uniqueId val="{00000002-1708-4CB3-855A-513C64430CF4}"/>
            </c:ext>
          </c:extLst>
        </c:ser>
        <c:dLbls>
          <c:showLegendKey val="0"/>
          <c:showVal val="0"/>
          <c:showCatName val="0"/>
          <c:showSerName val="0"/>
          <c:showPercent val="0"/>
          <c:showBubbleSize val="0"/>
        </c:dLbls>
        <c:marker val="1"/>
        <c:smooth val="0"/>
        <c:axId val="1149016416"/>
        <c:axId val="1385480144"/>
      </c:lineChart>
      <c:dateAx>
        <c:axId val="1149016416"/>
        <c:scaling>
          <c:orientation val="minMax"/>
        </c:scaling>
        <c:delete val="0"/>
        <c:axPos val="b"/>
        <c:numFmt formatCode="dd/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5480144"/>
        <c:crosses val="autoZero"/>
        <c:auto val="1"/>
        <c:lblOffset val="100"/>
        <c:baseTimeUnit val="days"/>
      </c:dateAx>
      <c:valAx>
        <c:axId val="1385480144"/>
        <c:scaling>
          <c:orientation val="minMax"/>
          <c:max val="1"/>
        </c:scaling>
        <c:delete val="0"/>
        <c:axPos val="l"/>
        <c:majorGridlines>
          <c:spPr>
            <a:ln w="9525" cap="flat" cmpd="sng" algn="ctr">
              <a:solidFill>
                <a:schemeClr val="tx1">
                  <a:lumMod val="15000"/>
                  <a:lumOff val="85000"/>
                </a:schemeClr>
              </a:solidFill>
              <a:prstDash val="dashDot"/>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49016416"/>
        <c:crosses val="autoZero"/>
        <c:crossBetween val="between"/>
      </c:valAx>
      <c:spPr>
        <a:noFill/>
        <a:ln>
          <a:noFill/>
        </a:ln>
        <a:effectLst/>
      </c:spPr>
    </c:plotArea>
    <c:legend>
      <c:legendPos val="b"/>
      <c:layout>
        <c:manualLayout>
          <c:xMode val="edge"/>
          <c:yMode val="edge"/>
          <c:x val="0.12489826314949316"/>
          <c:y val="0.92187431420570753"/>
          <c:w val="0.74796396484523853"/>
          <c:h val="7.5251362810417943E-2"/>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15</xdr:col>
      <xdr:colOff>0</xdr:colOff>
      <xdr:row>0</xdr:row>
      <xdr:rowOff>0</xdr:rowOff>
    </xdr:from>
    <xdr:to>
      <xdr:col>86</xdr:col>
      <xdr:colOff>304800</xdr:colOff>
      <xdr:row>0</xdr:row>
      <xdr:rowOff>299508</xdr:rowOff>
    </xdr:to>
    <xdr:sp macro="" textlink="">
      <xdr:nvSpPr>
        <xdr:cNvPr id="11285" name="avatar">
          <a:extLst>
            <a:ext uri="{FF2B5EF4-FFF2-40B4-BE49-F238E27FC236}">
              <a16:creationId xmlns:a16="http://schemas.microsoft.com/office/drawing/2014/main" id="{00000000-0008-0000-0000-0000152C0000}"/>
            </a:ext>
          </a:extLst>
        </xdr:cNvPr>
        <xdr:cNvSpPr>
          <a:spLocks noChangeAspect="1" noChangeArrowheads="1"/>
        </xdr:cNvSpPr>
      </xdr:nvSpPr>
      <xdr:spPr bwMode="auto">
        <a:xfrm>
          <a:off x="18659475" y="228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0</xdr:col>
      <xdr:colOff>0</xdr:colOff>
      <xdr:row>0</xdr:row>
      <xdr:rowOff>0</xdr:rowOff>
    </xdr:from>
    <xdr:ext cx="304800" cy="304800"/>
    <xdr:sp macro="" textlink="">
      <xdr:nvSpPr>
        <xdr:cNvPr id="3" name="avatar">
          <a:extLst>
            <a:ext uri="{FF2B5EF4-FFF2-40B4-BE49-F238E27FC236}">
              <a16:creationId xmlns:a16="http://schemas.microsoft.com/office/drawing/2014/main" id="{00000000-0008-0000-0000-000003000000}"/>
            </a:ext>
          </a:extLst>
        </xdr:cNvPr>
        <xdr:cNvSpPr>
          <a:spLocks noChangeAspect="1" noChangeArrowheads="1"/>
        </xdr:cNvSpPr>
      </xdr:nvSpPr>
      <xdr:spPr bwMode="auto">
        <a:xfrm>
          <a:off x="12033250" y="2174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2.xml><?xml version="1.0" encoding="utf-8"?>
<xdr:wsDr xmlns:xdr="http://schemas.openxmlformats.org/drawingml/2006/spreadsheetDrawing" xmlns:a="http://schemas.openxmlformats.org/drawingml/2006/main">
  <xdr:twoCellAnchor>
    <xdr:from>
      <xdr:col>8</xdr:col>
      <xdr:colOff>47624</xdr:colOff>
      <xdr:row>2</xdr:row>
      <xdr:rowOff>9525</xdr:rowOff>
    </xdr:from>
    <xdr:to>
      <xdr:col>14</xdr:col>
      <xdr:colOff>133349</xdr:colOff>
      <xdr:row>18</xdr:row>
      <xdr:rowOff>10942</xdr:rowOff>
    </xdr:to>
    <xdr:graphicFrame macro="">
      <xdr:nvGraphicFramePr>
        <xdr:cNvPr id="4" name="Gráfico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0.33486</cdr:x>
      <cdr:y>0.33879</cdr:y>
    </cdr:from>
    <cdr:to>
      <cdr:x>0.54153</cdr:x>
      <cdr:y>0.43154</cdr:y>
    </cdr:to>
    <cdr:sp macro="" textlink="">
      <cdr:nvSpPr>
        <cdr:cNvPr id="2" name="CuadroTexto 1">
          <a:extLst xmlns:a="http://schemas.openxmlformats.org/drawingml/2006/main">
            <a:ext uri="{FF2B5EF4-FFF2-40B4-BE49-F238E27FC236}">
              <a16:creationId xmlns:a16="http://schemas.microsoft.com/office/drawing/2014/main" id="{1F410018-EDE2-4365-8570-EB9F92F30878}"/>
            </a:ext>
          </a:extLst>
        </cdr:cNvPr>
        <cdr:cNvSpPr txBox="1"/>
      </cdr:nvSpPr>
      <cdr:spPr>
        <a:xfrm xmlns:a="http://schemas.openxmlformats.org/drawingml/2006/main">
          <a:off x="1469756" y="1033647"/>
          <a:ext cx="907099" cy="28297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s-CL" sz="1200">
              <a:solidFill>
                <a:schemeClr val="bg1"/>
              </a:solidFill>
            </a:rPr>
            <a:t>Abiertas</a:t>
          </a:r>
        </a:p>
      </cdr:txBody>
    </cdr:sp>
  </cdr:relSizeAnchor>
  <cdr:relSizeAnchor xmlns:cdr="http://schemas.openxmlformats.org/drawingml/2006/chartDrawing">
    <cdr:from>
      <cdr:x>0.12057</cdr:x>
      <cdr:y>0.43855</cdr:y>
    </cdr:from>
    <cdr:to>
      <cdr:x>0.32724</cdr:x>
      <cdr:y>0.5313</cdr:y>
    </cdr:to>
    <cdr:sp macro="" textlink="">
      <cdr:nvSpPr>
        <cdr:cNvPr id="3" name="CuadroTexto 1">
          <a:extLst xmlns:a="http://schemas.openxmlformats.org/drawingml/2006/main">
            <a:ext uri="{FF2B5EF4-FFF2-40B4-BE49-F238E27FC236}">
              <a16:creationId xmlns:a16="http://schemas.microsoft.com/office/drawing/2014/main" id="{8E383E51-82B9-4DE6-8E5D-F7E54287BA95}"/>
            </a:ext>
          </a:extLst>
        </cdr:cNvPr>
        <cdr:cNvSpPr txBox="1"/>
      </cdr:nvSpPr>
      <cdr:spPr>
        <a:xfrm xmlns:a="http://schemas.openxmlformats.org/drawingml/2006/main">
          <a:off x="529535" y="1341974"/>
          <a:ext cx="907695" cy="28381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s-CL" sz="1200">
              <a:solidFill>
                <a:schemeClr val="bg1"/>
              </a:solidFill>
            </a:rPr>
            <a:t>Cerradas</a:t>
          </a:r>
        </a:p>
      </cdr:txBody>
    </cdr:sp>
  </cdr:relSizeAnchor>
</c:userShapes>
</file>

<file path=xl/drawings/drawing4.xml><?xml version="1.0" encoding="utf-8"?>
<xdr:wsDr xmlns:xdr="http://schemas.openxmlformats.org/drawingml/2006/spreadsheetDrawing" xmlns:a="http://schemas.openxmlformats.org/drawingml/2006/main">
  <xdr:twoCellAnchor>
    <xdr:from>
      <xdr:col>5</xdr:col>
      <xdr:colOff>494876</xdr:colOff>
      <xdr:row>0</xdr:row>
      <xdr:rowOff>255694</xdr:rowOff>
    </xdr:from>
    <xdr:to>
      <xdr:col>12</xdr:col>
      <xdr:colOff>539749</xdr:colOff>
      <xdr:row>17</xdr:row>
      <xdr:rowOff>13694</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656167</xdr:colOff>
      <xdr:row>0</xdr:row>
      <xdr:rowOff>253998</xdr:rowOff>
    </xdr:from>
    <xdr:to>
      <xdr:col>19</xdr:col>
      <xdr:colOff>709083</xdr:colOff>
      <xdr:row>17</xdr:row>
      <xdr:rowOff>179915</xdr:rowOff>
    </xdr:to>
    <xdr:graphicFrame macro="">
      <xdr:nvGraphicFramePr>
        <xdr:cNvPr id="9" name="Gráfico 8">
          <a:extLst>
            <a:ext uri="{FF2B5EF4-FFF2-40B4-BE49-F238E27FC236}">
              <a16:creationId xmlns:a16="http://schemas.microsoft.com/office/drawing/2014/main" id="{00000000-0008-0000-04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709083</xdr:colOff>
      <xdr:row>19</xdr:row>
      <xdr:rowOff>21166</xdr:rowOff>
    </xdr:from>
    <xdr:to>
      <xdr:col>7</xdr:col>
      <xdr:colOff>490273</xdr:colOff>
      <xdr:row>34</xdr:row>
      <xdr:rowOff>30428</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xdr:col>
      <xdr:colOff>772581</xdr:colOff>
      <xdr:row>23</xdr:row>
      <xdr:rowOff>84667</xdr:rowOff>
    </xdr:from>
    <xdr:ext cx="981872" cy="530658"/>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5048248" y="4677834"/>
          <a:ext cx="981872"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s-MX" sz="1400">
              <a:solidFill>
                <a:schemeClr val="bg1"/>
              </a:solidFill>
            </a:rPr>
            <a:t>No</a:t>
          </a:r>
        </a:p>
        <a:p>
          <a:pPr algn="ctr"/>
          <a:r>
            <a:rPr lang="es-MX" sz="1400">
              <a:solidFill>
                <a:schemeClr val="bg1"/>
              </a:solidFill>
            </a:rPr>
            <a:t>ejecutados</a:t>
          </a:r>
        </a:p>
      </xdr:txBody>
    </xdr:sp>
    <xdr:clientData/>
  </xdr:oneCellAnchor>
</xdr:wsDr>
</file>

<file path=xl/drawings/drawing5.xml><?xml version="1.0" encoding="utf-8"?>
<c:userShapes xmlns:c="http://schemas.openxmlformats.org/drawingml/2006/chart">
  <cdr:relSizeAnchor xmlns:cdr="http://schemas.openxmlformats.org/drawingml/2006/chartDrawing">
    <cdr:from>
      <cdr:x>0.41758</cdr:x>
      <cdr:y>0.43221</cdr:y>
    </cdr:from>
    <cdr:to>
      <cdr:x>0.62425</cdr:x>
      <cdr:y>0.52496</cdr:y>
    </cdr:to>
    <cdr:sp macro="" textlink="">
      <cdr:nvSpPr>
        <cdr:cNvPr id="2" name="CuadroTexto 1">
          <a:extLst xmlns:a="http://schemas.openxmlformats.org/drawingml/2006/main">
            <a:ext uri="{FF2B5EF4-FFF2-40B4-BE49-F238E27FC236}">
              <a16:creationId xmlns:a16="http://schemas.microsoft.com/office/drawing/2014/main" id="{1F410018-EDE2-4365-8570-EB9F92F30878}"/>
            </a:ext>
          </a:extLst>
        </cdr:cNvPr>
        <cdr:cNvSpPr txBox="1"/>
      </cdr:nvSpPr>
      <cdr:spPr>
        <a:xfrm xmlns:a="http://schemas.openxmlformats.org/drawingml/2006/main">
          <a:off x="2246118" y="1441489"/>
          <a:ext cx="1111652" cy="30933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s-CL" sz="1200">
              <a:solidFill>
                <a:schemeClr val="bg1"/>
              </a:solidFill>
            </a:rPr>
            <a:t>Abiertas</a:t>
          </a:r>
        </a:p>
      </cdr:txBody>
    </cdr:sp>
  </cdr:relSizeAnchor>
  <cdr:relSizeAnchor xmlns:cdr="http://schemas.openxmlformats.org/drawingml/2006/chartDrawing">
    <cdr:from>
      <cdr:x>0.14708</cdr:x>
      <cdr:y>0.40742</cdr:y>
    </cdr:from>
    <cdr:to>
      <cdr:x>0.35375</cdr:x>
      <cdr:y>0.50017</cdr:y>
    </cdr:to>
    <cdr:sp macro="" textlink="">
      <cdr:nvSpPr>
        <cdr:cNvPr id="3" name="CuadroTexto 1">
          <a:extLst xmlns:a="http://schemas.openxmlformats.org/drawingml/2006/main">
            <a:ext uri="{FF2B5EF4-FFF2-40B4-BE49-F238E27FC236}">
              <a16:creationId xmlns:a16="http://schemas.microsoft.com/office/drawing/2014/main" id="{8E383E51-82B9-4DE6-8E5D-F7E54287BA95}"/>
            </a:ext>
          </a:extLst>
        </cdr:cNvPr>
        <cdr:cNvSpPr txBox="1"/>
      </cdr:nvSpPr>
      <cdr:spPr>
        <a:xfrm xmlns:a="http://schemas.openxmlformats.org/drawingml/2006/main">
          <a:off x="645960" y="1246713"/>
          <a:ext cx="907695" cy="28381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s-CL" sz="1200">
              <a:solidFill>
                <a:schemeClr val="bg1"/>
              </a:solidFill>
            </a:rPr>
            <a:t>Cerradas</a:t>
          </a:r>
        </a:p>
      </cdr:txBody>
    </cdr:sp>
  </cdr:relSizeAnchor>
</c:userShapes>
</file>

<file path=xl/drawings/drawing6.xml><?xml version="1.0" encoding="utf-8"?>
<c:userShapes xmlns:c="http://schemas.openxmlformats.org/drawingml/2006/chart">
  <cdr:relSizeAnchor xmlns:cdr="http://schemas.openxmlformats.org/drawingml/2006/chartDrawing">
    <cdr:from>
      <cdr:x>0.51701</cdr:x>
      <cdr:y>0.40784</cdr:y>
    </cdr:from>
    <cdr:to>
      <cdr:x>0.71732</cdr:x>
      <cdr:y>0.49499</cdr:y>
    </cdr:to>
    <cdr:sp macro="" textlink="">
      <cdr:nvSpPr>
        <cdr:cNvPr id="2" name="CuadroTexto 1">
          <a:extLst xmlns:a="http://schemas.openxmlformats.org/drawingml/2006/main">
            <a:ext uri="{FF2B5EF4-FFF2-40B4-BE49-F238E27FC236}">
              <a16:creationId xmlns:a16="http://schemas.microsoft.com/office/drawing/2014/main" id="{BF0D5B76-CDA8-41ED-96DA-F123EF45A2A5}"/>
            </a:ext>
          </a:extLst>
        </cdr:cNvPr>
        <cdr:cNvSpPr txBox="1"/>
      </cdr:nvSpPr>
      <cdr:spPr>
        <a:xfrm xmlns:a="http://schemas.openxmlformats.org/drawingml/2006/main">
          <a:off x="2360084" y="1238250"/>
          <a:ext cx="914400" cy="2645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s-MX" sz="1400">
              <a:solidFill>
                <a:schemeClr val="bg1"/>
              </a:solidFill>
              <a:latin typeface="+mn-lt"/>
            </a:rPr>
            <a:t>Ejecutado</a:t>
          </a:r>
        </a:p>
      </cdr:txBody>
    </cdr:sp>
  </cdr:relSizeAnchor>
</c:userShapes>
</file>

<file path=xl/drawings/drawing7.xml><?xml version="1.0" encoding="utf-8"?>
<xdr:wsDr xmlns:xdr="http://schemas.openxmlformats.org/drawingml/2006/spreadsheetDrawing" xmlns:a="http://schemas.openxmlformats.org/drawingml/2006/main">
  <xdr:twoCellAnchor>
    <xdr:from>
      <xdr:col>15</xdr:col>
      <xdr:colOff>104775</xdr:colOff>
      <xdr:row>0</xdr:row>
      <xdr:rowOff>28573</xdr:rowOff>
    </xdr:from>
    <xdr:to>
      <xdr:col>22</xdr:col>
      <xdr:colOff>223575</xdr:colOff>
      <xdr:row>18</xdr:row>
      <xdr:rowOff>18298</xdr:rowOff>
    </xdr:to>
    <xdr:graphicFrame macro="">
      <xdr:nvGraphicFramePr>
        <xdr:cNvPr id="5" name="Gráfico 1">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Luz Helena Ceballos Hurtado" refreshedDate="43940.7959162037" createdVersion="6" refreshedVersion="6" minRefreshableVersion="3" recordCount="954">
  <cacheSource type="worksheet">
    <worksheetSource ref="A1:H9" sheet="Iteraciones Ciclo 2"/>
  </cacheSource>
  <cacheFields count="12">
    <cacheField name="FR N°" numFmtId="0">
      <sharedItems containsString="0" containsBlank="1" containsNumber="1" containsInteger="1" minValue="1" maxValue="175"/>
    </cacheField>
    <cacheField name="Descripción del Functional Requieremet" numFmtId="0">
      <sharedItems containsBlank="1"/>
    </cacheField>
    <cacheField name="TC No " numFmtId="49">
      <sharedItems containsBlank="1" containsMixedTypes="1" containsNumber="1" containsInteger="1" minValue="1893" maxValue="2143" count="356">
        <s v="1"/>
        <s v="2"/>
        <s v="3"/>
        <s v="4"/>
        <s v="5"/>
        <s v="6"/>
        <s v="7"/>
        <s v="8"/>
        <s v="9"/>
        <s v="10"/>
        <m/>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60"/>
        <s v="61"/>
        <s v="62"/>
        <s v="63"/>
        <s v="64"/>
        <s v="65"/>
        <s v="66"/>
        <s v="67"/>
        <s v="68"/>
        <s v="69"/>
        <s v="70"/>
        <s v="71"/>
        <s v="72"/>
        <s v="73"/>
        <s v="74"/>
        <s v="75"/>
        <s v="76"/>
        <s v="77"/>
        <s v="78"/>
        <s v="79"/>
        <s v="80"/>
        <s v="81"/>
        <s v="82"/>
        <s v="83"/>
        <s v="84"/>
        <s v="85"/>
        <s v="86"/>
        <s v="87"/>
        <s v="88"/>
        <s v="89"/>
        <s v="90"/>
        <s v="91"/>
        <s v="92"/>
        <s v="93"/>
        <s v="94"/>
        <s v="95"/>
        <s v="96"/>
        <s v="97"/>
        <s v="98"/>
        <s v="99"/>
        <s v="100"/>
        <s v="101"/>
        <s v="102"/>
        <s v="103"/>
        <s v="104"/>
        <s v="105"/>
        <s v="106"/>
        <s v="107"/>
        <s v="108"/>
        <s v="109"/>
        <s v="110"/>
        <s v="111"/>
        <s v="112"/>
        <s v="113"/>
        <s v="114"/>
        <s v="115"/>
        <s v="116"/>
        <s v="117"/>
        <s v="118"/>
        <s v="119"/>
        <s v="120"/>
        <s v="121"/>
        <s v="122"/>
        <s v="123"/>
        <s v="124"/>
        <s v="125"/>
        <s v="126"/>
        <s v="127"/>
        <s v="128"/>
        <s v="129"/>
        <s v="130"/>
        <s v="131"/>
        <s v="132"/>
        <s v="133"/>
        <s v="134"/>
        <s v="135"/>
        <s v="136"/>
        <s v="137"/>
        <s v="138"/>
        <s v="139"/>
        <s v="140"/>
        <s v="141"/>
        <s v="142"/>
        <s v="143"/>
        <s v="144"/>
        <s v="145"/>
        <s v="146"/>
        <s v="147"/>
        <s v="148"/>
        <s v="149"/>
        <s v="150"/>
        <s v="151"/>
        <s v="152"/>
        <s v="153"/>
        <s v="154"/>
        <s v="155"/>
        <s v="156"/>
        <s v="157"/>
        <s v="158"/>
        <s v="159"/>
        <s v="160"/>
        <s v="161"/>
        <s v="162"/>
        <s v="163"/>
        <s v="164"/>
        <s v="165"/>
        <s v="166"/>
        <s v="167"/>
        <s v="168"/>
        <s v="169"/>
        <s v="170"/>
        <s v="171"/>
        <s v="172"/>
        <s v="173"/>
        <s v="174"/>
        <s v="175"/>
        <n v="2027" u="1"/>
        <n v="1962" u="1"/>
        <n v="1897" u="1"/>
        <n v="2140" u="1"/>
        <n v="2029" u="1"/>
        <n v="1964" u="1"/>
        <n v="1899" u="1"/>
        <n v="2077" u="1"/>
        <n v="2031" u="1"/>
        <n v="1966" u="1"/>
        <n v="1901" u="1"/>
        <n v="2081" u="1"/>
        <n v="2033" u="1"/>
        <n v="1968" u="1"/>
        <n v="1903" u="1"/>
        <n v="2085" u="1"/>
        <n v="2035" u="1"/>
        <n v="1970" u="1"/>
        <n v="1905" u="1"/>
        <n v="2089" u="1"/>
        <n v="2037" u="1"/>
        <n v="1972" u="1"/>
        <n v="1907" u="1"/>
        <n v="2093" u="1"/>
        <n v="2039" u="1"/>
        <n v="1974" u="1"/>
        <n v="1909" u="1"/>
        <n v="2097" u="1"/>
        <n v="2041" u="1"/>
        <n v="1976" u="1"/>
        <n v="1911" u="1"/>
        <n v="2101" u="1"/>
        <n v="2043" u="1"/>
        <n v="1978" u="1"/>
        <n v="1913" u="1"/>
        <n v="2105" u="1"/>
        <n v="2045" u="1"/>
        <n v="1980" u="1"/>
        <n v="1915" u="1"/>
        <n v="2109" u="1"/>
        <n v="2047" u="1"/>
        <n v="1917" u="1"/>
        <n v="2113" u="1"/>
        <n v="2050" u="1"/>
        <n v="1919" u="1"/>
        <n v="2117" u="1"/>
        <n v="2054" u="1"/>
        <n v="1921" u="1"/>
        <n v="2121" u="1"/>
        <n v="1923" u="1"/>
        <n v="1925" u="1"/>
        <n v="2129" u="1"/>
        <n v="1927" u="1"/>
        <n v="1929" u="1"/>
        <n v="1931" u="1"/>
        <n v="2141" u="1"/>
        <n v="2078" u="1"/>
        <n v="1933" u="1"/>
        <n v="2082" u="1"/>
        <n v="1935" u="1"/>
        <n v="2086" u="1"/>
        <n v="1937" u="1"/>
        <n v="2090" u="1"/>
        <n v="1939" u="1"/>
        <n v="2094" u="1"/>
        <n v="1941" u="1"/>
        <n v="2098" u="1"/>
        <n v="1943" u="1"/>
        <n v="2102" u="1"/>
        <n v="1945" u="1"/>
        <n v="2106" u="1"/>
        <n v="1947" u="1"/>
        <n v="2110" u="1"/>
        <n v="1949" u="1"/>
        <n v="2114" u="1"/>
        <n v="2016" u="1"/>
        <n v="1951" u="1"/>
        <n v="2051" u="1"/>
        <n v="2118" u="1"/>
        <n v="2018" u="1"/>
        <n v="2122" u="1"/>
        <n v="2020" u="1"/>
        <n v="1955" u="1"/>
        <n v="1957" u="1"/>
        <n v="2024" u="1"/>
        <n v="1959" u="1"/>
        <n v="1894" u="1"/>
        <n v="2026" u="1"/>
        <n v="1961" u="1"/>
        <n v="1896" u="1"/>
        <n v="2138" u="1"/>
        <n v="2028" u="1"/>
        <n v="1963" u="1"/>
        <n v="1898" u="1"/>
        <n v="2142" u="1"/>
        <n v="2030" u="1"/>
        <n v="1965" u="1"/>
        <n v="1900" u="1"/>
        <n v="2079" u="1"/>
        <n v="2032" u="1"/>
        <n v="1967" u="1"/>
        <n v="1902" u="1"/>
        <n v="2083" u="1"/>
        <n v="2034" u="1"/>
        <n v="1969" u="1"/>
        <n v="1904" u="1"/>
        <n v="2087" u="1"/>
        <n v="2036" u="1"/>
        <n v="1971" u="1"/>
        <n v="1906" u="1"/>
        <n v="2091" u="1"/>
        <n v="2038" u="1"/>
        <n v="1973" u="1"/>
        <n v="1908" u="1"/>
        <n v="2095" u="1"/>
        <n v="2040" u="1"/>
        <n v="1975" u="1"/>
        <n v="1910" u="1"/>
        <n v="2099" u="1"/>
        <n v="2042" u="1"/>
        <n v="1977" u="1"/>
        <n v="1912" u="1"/>
        <n v="2103" u="1"/>
        <n v="2044" u="1"/>
        <n v="1979" u="1"/>
        <n v="1914" u="1"/>
        <n v="2107" u="1"/>
        <n v="2046" u="1"/>
        <n v="1981" u="1"/>
        <n v="1916" u="1"/>
        <n v="2111" u="1"/>
        <n v="2048" u="1"/>
        <n v="1918" u="1"/>
        <n v="2115" u="1"/>
        <n v="2052" u="1"/>
        <n v="1920" u="1"/>
        <n v="2119" u="1"/>
        <n v="1922" u="1"/>
        <n v="1924" u="1"/>
        <n v="2127" u="1"/>
        <n v="1926" u="1"/>
        <n v="1928" u="1"/>
        <n v="1930" u="1"/>
        <n v="2139" u="1"/>
        <n v="1932" u="1"/>
        <n v="2143" u="1"/>
        <n v="2080" u="1"/>
        <n v="1934" u="1"/>
        <n v="2084" u="1"/>
        <n v="1936" u="1"/>
        <n v="2088" u="1"/>
        <n v="1938" u="1"/>
        <n v="2092" u="1"/>
        <n v="1940" u="1"/>
        <n v="2096" u="1"/>
        <n v="1942" u="1"/>
        <n v="2100" u="1"/>
        <n v="1944" u="1"/>
        <n v="2104" u="1"/>
        <n v="1946" u="1"/>
        <n v="2108" u="1"/>
        <n v="1948" u="1"/>
        <n v="2015" u="1"/>
        <n v="1950" u="1"/>
        <n v="2049" u="1"/>
        <n v="2116" u="1"/>
        <n v="2017" u="1"/>
        <n v="1952" u="1"/>
        <n v="2053" u="1"/>
        <n v="2120" u="1"/>
        <n v="2019" u="1"/>
        <n v="1954" u="1"/>
        <n v="1956" u="1"/>
        <n v="2128" u="1"/>
        <n v="2023" u="1"/>
        <n v="1958" u="1"/>
        <n v="1893" u="1"/>
        <n v="2025" u="1"/>
        <n v="1960" u="1"/>
        <n v="1895" u="1"/>
      </sharedItems>
    </cacheField>
    <cacheField name="Descripción Corta Caso de Prueba" numFmtId="0">
      <sharedItems containsBlank="1"/>
    </cacheField>
    <cacheField name="Testeador" numFmtId="0">
      <sharedItems containsNonDate="0" containsString="0" containsBlank="1"/>
    </cacheField>
    <cacheField name="Detalle del caso" numFmtId="0">
      <sharedItems containsBlank="1" longText="1"/>
    </cacheField>
    <cacheField name="Resultado esperado" numFmtId="0">
      <sharedItems containsBlank="1" longText="1"/>
    </cacheField>
    <cacheField name="N°" numFmtId="0">
      <sharedItems containsString="0" containsBlank="1" containsNumber="1" containsInteger="1" minValue="9199" maxValue="100015" count="34">
        <m/>
        <n v="9469"/>
        <n v="9465"/>
        <n v="9473"/>
        <n v="9480"/>
        <n v="9481"/>
        <n v="9868"/>
        <n v="9479"/>
        <n v="9478"/>
        <n v="9735"/>
        <n v="9761"/>
        <n v="9847"/>
        <n v="9846"/>
        <n v="9848"/>
        <n v="9935"/>
        <n v="9869"/>
        <n v="9895"/>
        <n v="10014"/>
        <n v="10016"/>
        <n v="100015"/>
        <n v="10039"/>
        <n v="9908" u="1"/>
        <n v="9299" u="1"/>
        <n v="9826" u="1"/>
        <n v="9293" u="1"/>
        <n v="9896" u="1"/>
        <n v="9495" u="1"/>
        <n v="9946" u="1"/>
        <n v="9925" u="1"/>
        <n v="9453" u="1"/>
        <n v="9884" u="1"/>
        <n v="9199" u="1"/>
        <n v="9234" u="1"/>
        <n v="9878" u="1"/>
      </sharedItems>
    </cacheField>
    <cacheField name="Adjudicada a" numFmtId="0">
      <sharedItems containsBlank="1"/>
    </cacheField>
    <cacheField name="Equipo" numFmtId="0">
      <sharedItems containsBlank="1" count="5">
        <s v=""/>
        <s v="Difarma"/>
        <s v="Perfaware"/>
        <e v="#N/A"/>
        <m/>
      </sharedItems>
    </cacheField>
    <cacheField name="Severidad" numFmtId="0">
      <sharedItems containsBlank="1" count="6">
        <s v=""/>
        <s v="mayor"/>
        <s v="menor"/>
        <s v="fallo"/>
        <e v="#N/A"/>
        <m/>
      </sharedItems>
    </cacheField>
    <cacheField name="Estado" numFmtId="0">
      <sharedItems containsBlank="1" count="9">
        <s v=""/>
        <s v="Cerrada"/>
        <s v="En Revisión"/>
        <s v="Asignado"/>
        <e v="#N/A"/>
        <m/>
        <s v="Aceptada" u="1"/>
        <s v="Nuevo" u="1"/>
        <s v="Entregad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Luz Helena Ceballos Hurtado" refreshedDate="43940.795916319446" createdVersion="6" refreshedVersion="6" minRefreshableVersion="3" recordCount="954">
  <cacheSource type="worksheet">
    <worksheetSource ref="E1:H9" sheet="Iteraciones Ciclo 2"/>
  </cacheSource>
  <cacheFields count="5">
    <cacheField name="N°" numFmtId="0">
      <sharedItems containsString="0" containsBlank="1" containsNumber="1" containsInteger="1" minValue="9199" maxValue="100015" count="33">
        <m/>
        <n v="9469"/>
        <n v="9465"/>
        <n v="9473"/>
        <n v="9480"/>
        <n v="9481"/>
        <n v="9868"/>
        <n v="9479"/>
        <n v="9478"/>
        <n v="9735"/>
        <n v="9761"/>
        <n v="9847"/>
        <n v="9846"/>
        <n v="9848"/>
        <n v="9935"/>
        <n v="9869"/>
        <n v="9895"/>
        <n v="10014"/>
        <n v="10016"/>
        <n v="100015"/>
        <n v="10039"/>
        <n v="9908" u="1"/>
        <n v="9299" u="1"/>
        <n v="9826" u="1"/>
        <n v="9293" u="1"/>
        <n v="9896" u="1"/>
        <n v="9495" u="1"/>
        <n v="9946" u="1"/>
        <n v="9925" u="1"/>
        <n v="9453" u="1"/>
        <n v="9884" u="1"/>
        <n v="9199" u="1"/>
        <n v="9234" u="1"/>
      </sharedItems>
    </cacheField>
    <cacheField name="Adjudicada a" numFmtId="0">
      <sharedItems containsBlank="1"/>
    </cacheField>
    <cacheField name="Equipo" numFmtId="0">
      <sharedItems containsBlank="1" count="5">
        <s v=""/>
        <s v="Difarma"/>
        <s v="Perfaware"/>
        <e v="#N/A"/>
        <m/>
      </sharedItems>
    </cacheField>
    <cacheField name="Severidad" numFmtId="0">
      <sharedItems containsBlank="1"/>
    </cacheField>
    <cacheField name="Estado" numFmtId="0">
      <sharedItems containsBlank="1" count="9">
        <s v=""/>
        <s v="Cerrada"/>
        <s v="En Revisión"/>
        <s v="Asignado"/>
        <e v="#N/A"/>
        <m/>
        <s v="Aceptada" u="1"/>
        <s v="Nuevo" u="1"/>
        <s v="Entregada"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Luis Duarte" refreshedDate="44050.505701388887" createdVersion="6" refreshedVersion="6" minRefreshableVersion="3" recordCount="105">
  <cacheSource type="worksheet">
    <worksheetSource name="Tabla1"/>
  </cacheSource>
  <cacheFields count="13">
    <cacheField name="FR N°" numFmtId="0">
      <sharedItems/>
    </cacheField>
    <cacheField name="HU " numFmtId="0">
      <sharedItems count="5">
        <s v="HU1 "/>
        <s v="HU1"/>
        <s v="HU2"/>
        <s v="HU3"/>
        <s v="HU4"/>
      </sharedItems>
    </cacheField>
    <cacheField name="Funcionalidad" numFmtId="0">
      <sharedItems containsBlank="1"/>
    </cacheField>
    <cacheField name="Caso de Prueba" numFmtId="0">
      <sharedItems/>
    </cacheField>
    <cacheField name="N° Mantis" numFmtId="0">
      <sharedItems containsNonDate="0" containsString="0" containsBlank="1"/>
    </cacheField>
    <cacheField name="Adjudicada a" numFmtId="0">
      <sharedItems containsBlank="1"/>
    </cacheField>
    <cacheField name="Equipo" numFmtId="0">
      <sharedItems containsBlank="1"/>
    </cacheField>
    <cacheField name="Severidad" numFmtId="0">
      <sharedItems containsBlank="1" containsMixedTypes="1" containsNumber="1" containsInteger="1" minValue="222" maxValue="222"/>
    </cacheField>
    <cacheField name="Estado" numFmtId="0">
      <sharedItems containsBlank="1"/>
    </cacheField>
    <cacheField name="Detalle de Caso" numFmtId="0">
      <sharedItems containsNonDate="0" containsString="0" containsBlank="1"/>
    </cacheField>
    <cacheField name="Resultado Esperado" numFmtId="0">
      <sharedItems containsNonDate="0" containsString="0" containsBlank="1"/>
    </cacheField>
    <cacheField name="Observaciones" numFmtId="0">
      <sharedItems containsNonDate="0" containsString="0" containsBlank="1"/>
    </cacheField>
    <cacheField name="Estado final" numFmtId="0">
      <sharedItems containsBlank="1" count="5">
        <s v="Pendiente"/>
        <m u="1"/>
        <s v="Bloqueado" u="1"/>
        <s v="OK" u="1"/>
        <s v="NO OK"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54">
  <r>
    <n v="1"/>
    <s v="Call Center"/>
    <x v="0"/>
    <s v="OMS - CC- Creación de usuario"/>
    <m/>
    <s v="Crear usuario y contraseña correctamente "/>
    <s v="Usuario y contraseña se han creado exitosamente."/>
    <x v="0"/>
    <s v=""/>
    <x v="0"/>
    <x v="0"/>
    <x v="0"/>
  </r>
  <r>
    <n v="2"/>
    <s v="Call Center"/>
    <x v="1"/>
    <s v="OMS - CC - Login correcto"/>
    <m/>
    <s v="Ejecutivo de CallCenter se loguea con su usuario y contraseña"/>
    <s v="El sistema reconoce Usuario y Password y despliega Dashboar principal con los datos del usuario logueado"/>
    <x v="0"/>
    <s v=""/>
    <x v="0"/>
    <x v="0"/>
    <x v="0"/>
  </r>
  <r>
    <n v="3"/>
    <s v="Call Center"/>
    <x v="2"/>
    <s v="OMS - CC - Login incorrecto"/>
    <m/>
    <s v="Validar que al ingresar usuario y/o contraseña incorrecta el sistema muestre un mensaje de error."/>
    <s v="El sistema despliega mensaje en ventana &quot;El inicio de sesión ha fallado.  La combinación de nombre de usuario y contraseña que ha especificado no coincide con ninguna cuenta existente. Inténtelo de nuevo.&quot;"/>
    <x v="0"/>
    <s v=""/>
    <x v="0"/>
    <x v="0"/>
    <x v="0"/>
  </r>
  <r>
    <n v="4"/>
    <s v="Call Center"/>
    <x v="3"/>
    <s v="OMS - CC- Recuperar contraseña "/>
    <m/>
    <s v="Validar que el sistema permita recuperar la contraseña "/>
    <s v="El sistema permite recuperar y crear nueva contraseña."/>
    <x v="0"/>
    <s v=""/>
    <x v="0"/>
    <x v="0"/>
    <x v="0"/>
  </r>
  <r>
    <n v="5"/>
    <s v="Call Center"/>
    <x v="4"/>
    <s v="OMS - CC - Creación de orden"/>
    <m/>
    <s v="Validar que al hacer click en &quot;crear orden&quot; el sistema habra una ventana para seleccionar empresa."/>
    <s v="El sistema abre ventana y  al seleccionar y aplicar empresa se cierra y control retorna al Dashboard"/>
    <x v="0"/>
    <s v=""/>
    <x v="0"/>
    <x v="0"/>
    <x v="0"/>
  </r>
  <r>
    <n v="6"/>
    <s v="Call Center"/>
    <x v="5"/>
    <s v="OMS - CC - Creación de orden"/>
    <m/>
    <s v="Validar que al ingresar al modulo crear cliente se presione directamente el botón &quot;confirmar&quot; y el sistema no permita continuar con el proceso"/>
    <s v="El sistema informa que no se ha seleccionado un cliente y no debe permitir continuar con el proceso."/>
    <x v="0"/>
    <s v=""/>
    <x v="0"/>
    <x v="0"/>
    <x v="0"/>
  </r>
  <r>
    <n v="7"/>
    <s v="Call Center"/>
    <x v="6"/>
    <s v="OMS - CC - Creación cliente"/>
    <m/>
    <s v="Si el cliente es nuevo continuar con la creación del mismo. "/>
    <s v="Se ha creado el nuevo cliente de manera correcta."/>
    <x v="1"/>
    <s v="erivera"/>
    <x v="1"/>
    <x v="1"/>
    <x v="1"/>
  </r>
  <r>
    <n v="8"/>
    <s v="Call Center"/>
    <x v="7"/>
    <s v="OMS - CC - Creación de cliente"/>
    <m/>
    <s v="Validar que el sistema no permita crear un cliente si hay campos vacios.  "/>
    <s v="El sistema debe arrojar la alerta de campos obligatorios."/>
    <x v="0"/>
    <s v=""/>
    <x v="0"/>
    <x v="0"/>
    <x v="0"/>
  </r>
  <r>
    <n v="9"/>
    <s v="Call Center"/>
    <x v="8"/>
    <s v="OMS - CC - Creación de cliente"/>
    <m/>
    <s v="Validar que al intentar crear un cliente  existente el sistema muestre un mensaje que idique que el cliente ya ha sido registrado."/>
    <s v="El sistema debe arrojar mensaje de cliente existente."/>
    <x v="0"/>
    <s v=""/>
    <x v="0"/>
    <x v="0"/>
    <x v="0"/>
  </r>
  <r>
    <n v="10"/>
    <s v="Call Center"/>
    <x v="9"/>
    <s v="OMS - CC - Creación de cliente"/>
    <m/>
    <s v=" Validar que al ingresar información erronea en los campos de creación de cliente el sistema valide que es incorrecto."/>
    <s v="El sistema muestra mensaje de error cuando se ingresa información incorrecta en los campos."/>
    <x v="2"/>
    <s v="erivera"/>
    <x v="1"/>
    <x v="1"/>
    <x v="2"/>
  </r>
  <r>
    <m/>
    <m/>
    <x v="10"/>
    <m/>
    <m/>
    <m/>
    <m/>
    <x v="3"/>
    <s v="erivera"/>
    <x v="1"/>
    <x v="1"/>
    <x v="1"/>
  </r>
  <r>
    <n v="11"/>
    <s v="Call Center"/>
    <x v="11"/>
    <s v="OMS - CC - Buscar  cliente"/>
    <m/>
    <s v="Validar que el buscar el cliente por cada campo campo lo busque exitosamente."/>
    <s v="El sistema permite buscar el cliente por cualquiera de los campos (Nombre, Apellido, ID cliente,  Correo; Telefono,  Número de identificación)"/>
    <x v="0"/>
    <s v=""/>
    <x v="0"/>
    <x v="0"/>
    <x v="0"/>
  </r>
  <r>
    <n v="12"/>
    <s v="Call Center"/>
    <x v="12"/>
    <s v="OMS - CC - Actualizar  cliente"/>
    <m/>
    <s v="Validar que el sistema permita editar la información del cliente."/>
    <s v="La informacion general del cliente fue actualizada y/o editada correctamente."/>
    <x v="4"/>
    <s v="lbenavidez_co"/>
    <x v="1"/>
    <x v="1"/>
    <x v="1"/>
  </r>
  <r>
    <n v="13"/>
    <s v="Call Center"/>
    <x v="13"/>
    <s v="OMS - CC - Modificar estado  Cliente"/>
    <m/>
    <s v="Validar que el sistema permita cambiar el estado del cliente."/>
    <s v="El estado del cliente fue modificado exitosamente."/>
    <x v="5"/>
    <s v="erivera"/>
    <x v="1"/>
    <x v="1"/>
    <x v="1"/>
  </r>
  <r>
    <n v="14"/>
    <s v="Call Center"/>
    <x v="14"/>
    <s v="OMS - CC - Agregar direccion nueva &quot;enviar a&quot;"/>
    <m/>
    <s v="Validar que el sistema permita añadir una nueva direccion de envio en el campo &quot;Enviar a&quot;"/>
    <s v="La direccion nueva fue añadida con éxito"/>
    <x v="0"/>
    <s v=""/>
    <x v="0"/>
    <x v="0"/>
    <x v="0"/>
  </r>
  <r>
    <n v="15"/>
    <s v="Call Center"/>
    <x v="15"/>
    <s v="OMS - CC - Agregar direccion existente &quot;enviar a&quot;"/>
    <m/>
    <s v="Validar que el sistema permita seleccionar una direccion ya existente en el campo &quot;Enviar a&quot;"/>
    <s v="La direccion existente fue añadida con éxito "/>
    <x v="0"/>
    <s v=""/>
    <x v="0"/>
    <x v="0"/>
    <x v="0"/>
  </r>
  <r>
    <n v="16"/>
    <s v="Call Center"/>
    <x v="16"/>
    <s v="OMS - CC - Agregar direccion nueva  &quot;facturar a&quot;"/>
    <m/>
    <s v="Validar que el sistema permita añadir una nueva direccion de envio en el campo &quot;Facturar a&quot;"/>
    <s v="La direccion nueva fue añadida con éxito"/>
    <x v="0"/>
    <s v=""/>
    <x v="0"/>
    <x v="0"/>
    <x v="0"/>
  </r>
  <r>
    <n v="17"/>
    <s v="Call Center"/>
    <x v="17"/>
    <s v="OMS - CC - Agregar direccion existente &quot;facturar a&quot;"/>
    <m/>
    <s v="Validar que el sistema permita seleccionar una direccion ya existente en el campo &quot;Facturar a&quot;."/>
    <s v="La direccion existente fue añadida con éxito "/>
    <x v="6"/>
    <s v="lpabon_co"/>
    <x v="1"/>
    <x v="2"/>
    <x v="1"/>
  </r>
  <r>
    <n v="18"/>
    <s v="Call Center"/>
    <x v="18"/>
    <s v="OMS - CC - Búsqueda productos"/>
    <m/>
    <s v="Validar que se puedan buscar productos por nombre."/>
    <s v="El producto se ha encontrado exitosamente"/>
    <x v="7"/>
    <s v="lbenavidez_co"/>
    <x v="1"/>
    <x v="1"/>
    <x v="1"/>
  </r>
  <r>
    <m/>
    <m/>
    <x v="10"/>
    <m/>
    <m/>
    <m/>
    <m/>
    <x v="8"/>
    <s v="lbenavidez_co"/>
    <x v="1"/>
    <x v="1"/>
    <x v="1"/>
  </r>
  <r>
    <n v="19"/>
    <s v="Call Center"/>
    <x v="19"/>
    <s v="OMS - CC - Búsqueda productos"/>
    <m/>
    <s v="Validar que  al ingresar solo una parte del nombre se desplieguen los produtos relacionados."/>
    <s v="El producto se ha encontrado exitosamente"/>
    <x v="0"/>
    <s v=""/>
    <x v="0"/>
    <x v="0"/>
    <x v="0"/>
  </r>
  <r>
    <n v="20"/>
    <s v="Call Center"/>
    <x v="20"/>
    <s v="OMS - CC - Búsqueda productos"/>
    <m/>
    <s v="Validar que se pueda buscar los productos por categorias en el botón &quot;Examinar&quot;"/>
    <s v="La búsqueda se realiza exitosamente."/>
    <x v="7"/>
    <s v="lbenavidez_co"/>
    <x v="1"/>
    <x v="1"/>
    <x v="1"/>
  </r>
  <r>
    <m/>
    <m/>
    <x v="10"/>
    <m/>
    <m/>
    <m/>
    <m/>
    <x v="8"/>
    <s v="lbenavidez_co"/>
    <x v="1"/>
    <x v="1"/>
    <x v="1"/>
  </r>
  <r>
    <m/>
    <m/>
    <x v="10"/>
    <m/>
    <m/>
    <m/>
    <m/>
    <x v="9"/>
    <s v="lpabon_co"/>
    <x v="1"/>
    <x v="3"/>
    <x v="1"/>
  </r>
  <r>
    <n v="21"/>
    <s v="Call Center"/>
    <x v="21"/>
    <s v="OMS - CC - Búsqueda productos"/>
    <m/>
    <s v="Ingresar ID (Codigo SKU) no válido de producto y presionar  botón añadir."/>
    <s v="El sistema muestra mensaje de error que indica &quot;Producto no válido&quot;"/>
    <x v="7"/>
    <s v="lbenavidez_co"/>
    <x v="1"/>
    <x v="1"/>
    <x v="1"/>
  </r>
  <r>
    <m/>
    <m/>
    <x v="10"/>
    <m/>
    <m/>
    <m/>
    <m/>
    <x v="8"/>
    <s v="lbenavidez_co"/>
    <x v="1"/>
    <x v="1"/>
    <x v="1"/>
  </r>
  <r>
    <n v="22"/>
    <s v="Call Center"/>
    <x v="22"/>
    <s v="OMS - CC - Descripción productos "/>
    <m/>
    <s v="Validar que en la columan producto se muestre  la descripción del producto y la imagen correspondiente."/>
    <s v="La descripción e imagen del producto se visualiza y  es correcta."/>
    <x v="7"/>
    <s v="lbenavidez_co"/>
    <x v="1"/>
    <x v="1"/>
    <x v="1"/>
  </r>
  <r>
    <m/>
    <m/>
    <x v="10"/>
    <m/>
    <m/>
    <m/>
    <m/>
    <x v="8"/>
    <s v="lbenavidez_co"/>
    <x v="1"/>
    <x v="1"/>
    <x v="1"/>
  </r>
  <r>
    <n v="23"/>
    <s v="Call Center"/>
    <x v="23"/>
    <s v="OMS - CC - Carro de compras"/>
    <m/>
    <s v="Validar que el boton CANTIDAD se pueda editar y modificar la cantidad requerida"/>
    <s v="EL boton permite editar y modificar cantidad."/>
    <x v="7"/>
    <s v="lbenavidez_co"/>
    <x v="1"/>
    <x v="1"/>
    <x v="1"/>
  </r>
  <r>
    <m/>
    <m/>
    <x v="10"/>
    <m/>
    <m/>
    <m/>
    <m/>
    <x v="8"/>
    <s v="lbenavidez_co"/>
    <x v="1"/>
    <x v="1"/>
    <x v="1"/>
  </r>
  <r>
    <m/>
    <m/>
    <x v="10"/>
    <m/>
    <m/>
    <m/>
    <m/>
    <x v="10"/>
    <s v="lbenavidez_co"/>
    <x v="1"/>
    <x v="3"/>
    <x v="1"/>
  </r>
  <r>
    <n v="24"/>
    <s v="Call Center"/>
    <x v="24"/>
    <s v="OMS - CC - Añadir productos"/>
    <m/>
    <s v="Validar los descuentos y promociones del producto "/>
    <s v="El sistema valido los descuentos y promociones correctamente"/>
    <x v="10"/>
    <s v="lbenavidez_co"/>
    <x v="1"/>
    <x v="3"/>
    <x v="1"/>
  </r>
  <r>
    <n v="25"/>
    <s v="Call Center"/>
    <x v="25"/>
    <s v="OMS - CC - Añadir productos"/>
    <m/>
    <s v="Validar que total de la Orden corresponda al valor por unidad multiplicado por la cantidad requerida, menos el descuento de existir. "/>
    <s v="El sistema calcula el total de la suma de los productos correctamente."/>
    <x v="10"/>
    <s v="lbenavidez_co"/>
    <x v="1"/>
    <x v="3"/>
    <x v="1"/>
  </r>
  <r>
    <m/>
    <m/>
    <x v="10"/>
    <m/>
    <m/>
    <m/>
    <m/>
    <x v="11"/>
    <s v="apuentes_co"/>
    <x v="1"/>
    <x v="1"/>
    <x v="1"/>
  </r>
  <r>
    <n v="26"/>
    <s v="Call Center"/>
    <x v="26"/>
    <s v="OMS - CC - Añadir productos"/>
    <m/>
    <s v="Vlidar que al eliminar un producto o disminuir la cantidad el sistema actualice el total de la orden."/>
    <s v="El sistema actualiza el total de la suma de los productos correctamente."/>
    <x v="10"/>
    <s v="lbenavidez_co"/>
    <x v="1"/>
    <x v="3"/>
    <x v="1"/>
  </r>
  <r>
    <m/>
    <m/>
    <x v="10"/>
    <m/>
    <m/>
    <m/>
    <m/>
    <x v="12"/>
    <s v="apuentes_co"/>
    <x v="1"/>
    <x v="1"/>
    <x v="1"/>
  </r>
  <r>
    <n v="27"/>
    <s v="Call Center"/>
    <x v="27"/>
    <s v="OMS - CC - Añadir productos"/>
    <m/>
    <s v="Validar que al no seleccionar un producto y hacer click en el boton &quot;siguiente&quot; el sistema no permite continuar con el proceso."/>
    <s v="El sistema no continua con el proceso."/>
    <x v="0"/>
    <s v=""/>
    <x v="0"/>
    <x v="0"/>
    <x v="0"/>
  </r>
  <r>
    <n v="28"/>
    <s v="Call Center"/>
    <x v="28"/>
    <s v="OMS - CC - Añadir productos"/>
    <m/>
    <s v="Validar que la orden tenga todos los productos disponibles"/>
    <s v="Todos los producctos de la orden fueron añadidos exitosamente."/>
    <x v="0"/>
    <s v=""/>
    <x v="0"/>
    <x v="0"/>
    <x v="0"/>
  </r>
  <r>
    <n v="29"/>
    <s v="Call Center"/>
    <x v="29"/>
    <s v="OMS - CC - Opciones de envio"/>
    <m/>
    <s v="Validar que el sistema muestre correctamente las opciones de envÍo (Envió y Retiro en tienda )"/>
    <s v="el sistema muestra correctamente las ocpiones de envió."/>
    <x v="0"/>
    <s v=""/>
    <x v="0"/>
    <x v="0"/>
    <x v="0"/>
  </r>
  <r>
    <n v="30"/>
    <s v="Call Center"/>
    <x v="30"/>
    <s v="OMS - CC - Método de entrega"/>
    <m/>
    <s v="Validar que el sistema permita seleccionar los diferentes métodos de  entrega. ( entrega en tienda y envio)"/>
    <s v="El sistema permirte seleccionar &quot;Envio&quot; correctamente. "/>
    <x v="0"/>
    <s v=""/>
    <x v="0"/>
    <x v="0"/>
    <x v="0"/>
  </r>
  <r>
    <n v="31"/>
    <s v="Call Center"/>
    <x v="31"/>
    <s v="OMS - CC- Elección de tienda"/>
    <m/>
    <s v="validar que la al seleccionar  el metodo de entrega &quot;envio&quot; el sistema muestre las tiendas que cumplen con las siguientes condiciones:_x000a_1. Inventario_x000a_2. Cercania _x000a_3. Horario de tienda_x000a_4. Capacidad de la tienda para realizar envios"/>
    <s v="El sistema indico exitosamente las tiendas que cumplen con las  condiciones mencionadas."/>
    <x v="0"/>
    <s v=""/>
    <x v="0"/>
    <x v="0"/>
    <x v="0"/>
  </r>
  <r>
    <n v="32"/>
    <s v="Call Center"/>
    <x v="32"/>
    <s v="OMS - CC- Seleccionar franja horaria "/>
    <m/>
    <s v="Validar que se pueda seleccionar una franja horaria"/>
    <s v="Se despliega una lista con las franjas de día y hora en que el pedido llegará a casa del cliente, la selección de franja horaria se realiza exitosamente."/>
    <x v="13"/>
    <s v="erivera"/>
    <x v="1"/>
    <x v="1"/>
    <x v="1"/>
  </r>
  <r>
    <m/>
    <m/>
    <x v="10"/>
    <m/>
    <m/>
    <m/>
    <m/>
    <x v="14"/>
    <s v="lbenavidez_co"/>
    <x v="1"/>
    <x v="3"/>
    <x v="1"/>
  </r>
  <r>
    <n v="33"/>
    <s v="Call Center"/>
    <x v="33"/>
    <s v="OMS - CC - Método de pago contra entrega"/>
    <m/>
    <s v="Seleccionar método de pago &quot;Contraentrega&quot; efectivo"/>
    <s v="El método de pago fue seleccionado exitosamente."/>
    <x v="0"/>
    <s v=""/>
    <x v="0"/>
    <x v="0"/>
    <x v="0"/>
  </r>
  <r>
    <n v="34"/>
    <s v="Call Center"/>
    <x v="34"/>
    <s v="OMS - CC - Método de pago contra entrega"/>
    <m/>
    <s v="Seleccionar forma de pago &quot;Contraentrega&quot; con tarjeta"/>
    <s v="La forma de pago seleccionado fue exitosamente "/>
    <x v="0"/>
    <s v=""/>
    <x v="0"/>
    <x v="0"/>
    <x v="0"/>
  </r>
  <r>
    <n v="35"/>
    <s v="Call Center"/>
    <x v="35"/>
    <s v="OMS - CC - Método de pago tarjeta crédito"/>
    <m/>
    <s v="Seleccionar método de pago &quot;Tarjeta credito&quot; y validar que los campos funcionen correctamente,"/>
    <s v="Al ingresar los datos de la tarjeta de crédito los campos son validados correctamente."/>
    <x v="0"/>
    <s v=""/>
    <x v="0"/>
    <x v="0"/>
    <x v="0"/>
  </r>
  <r>
    <n v="36"/>
    <s v="Call Center"/>
    <x v="36"/>
    <s v="OMS - CC - Método de pago tarjeta crédito"/>
    <m/>
    <s v="Validar que al ingresar los datos correctamente de la tarjeta de crédito se despliegue la opción de para seleccionar el número de cuotas "/>
    <s v="La ventana para seleccionar el número de cuoats es validada correctamente, "/>
    <x v="0"/>
    <s v=""/>
    <x v="0"/>
    <x v="0"/>
    <x v="0"/>
  </r>
  <r>
    <n v="37"/>
    <s v="Call Center"/>
    <x v="37"/>
    <s v="OMS - CC - Método de pago PSE"/>
    <m/>
    <s v="Seleccionar forma de pago &quot;PSE&quot;"/>
    <s v="Al seleccionar la forma de pago PSE se debe abrir una nueva ventana donde se ingrese el correo electrónico y seleccione el banco. Este debe direccionar a la pataforma del banco seleccioando. "/>
    <x v="0"/>
    <s v=""/>
    <x v="0"/>
    <x v="0"/>
    <x v="0"/>
  </r>
  <r>
    <n v="38"/>
    <s v="Call Center"/>
    <x v="38"/>
    <s v="OMS - CC - Método de pago PSE"/>
    <m/>
    <s v="Validar que la trasaccion por medio de PSE fue exitosa "/>
    <s v="La transaccion por medio de pago PSE se realizo exitosamente."/>
    <x v="0"/>
    <s v=""/>
    <x v="0"/>
    <x v="0"/>
    <x v="0"/>
  </r>
  <r>
    <n v="39"/>
    <s v="Call Center"/>
    <x v="39"/>
    <s v="OMS - CC- Estado &quot; Created&quot;"/>
    <m/>
    <s v="Validar que una vez creada la ordene de compra  quede en estado &quot;Created&quot;"/>
    <s v="El sistema realiza el cambio de estado correctamente"/>
    <x v="0"/>
    <s v=""/>
    <x v="0"/>
    <x v="0"/>
    <x v="0"/>
  </r>
  <r>
    <n v="40"/>
    <s v="Call Center"/>
    <x v="40"/>
    <s v="OMS - CC- Estado &quot; Ready for Packing&quot;"/>
    <m/>
    <s v="Validar que el estado de la orden cambie exitosamente a &quot;Ready for Packing&quot;"/>
    <s v="El sistema realiza el cambio de estado correctamente"/>
    <x v="0"/>
    <s v=""/>
    <x v="0"/>
    <x v="0"/>
    <x v="0"/>
  </r>
  <r>
    <n v="41"/>
    <s v="Call Center"/>
    <x v="41"/>
    <s v="OMS - CC- Estado &quot; Packing Complete&quot;"/>
    <m/>
    <s v="Validar que el estado de la orden cambie exitosamente a &quot;Packing Complete&quot;"/>
    <s v="El sistema realiza el cambio de estado correctamente"/>
    <x v="0"/>
    <s v=""/>
    <x v="0"/>
    <x v="0"/>
    <x v="0"/>
  </r>
  <r>
    <n v="42"/>
    <s v="Call Center"/>
    <x v="42"/>
    <s v="OMS - CC- Estado &quot; In Transit To Customer&quot;"/>
    <m/>
    <s v="Validar que el estado de la orden cambie exitosamente a &quot;_x0009__x000a_In Transit to Customer&quot;"/>
    <s v="El sistema realiza el cambio de estado correctamente"/>
    <x v="0"/>
    <s v=""/>
    <x v="0"/>
    <x v="0"/>
    <x v="0"/>
  </r>
  <r>
    <n v="43"/>
    <s v="Call Center"/>
    <x v="43"/>
    <s v="OMS - CC- Estado &quot; Delivered&quot;"/>
    <m/>
    <s v="Validar que el estado de la orden cambie exitosamente a &quot;_x0009__x000a_Delivered&quot; una vez entregado al cliente."/>
    <s v="El sistema realiza el cambio de estado correctamente"/>
    <x v="0"/>
    <s v=""/>
    <x v="0"/>
    <x v="0"/>
    <x v="0"/>
  </r>
  <r>
    <n v="44"/>
    <s v="Call Center"/>
    <x v="44"/>
    <s v="OMS - CC- Estado &quot; Rejected&quot;"/>
    <m/>
    <s v="Validar que el estado de la orden cambie exitosamente a &quot;Rejected&quot; si el pedido devuelve la orden."/>
    <s v="El sistema realiza el cambio de estado correctamente"/>
    <x v="0"/>
    <s v=""/>
    <x v="0"/>
    <x v="0"/>
    <x v="0"/>
  </r>
  <r>
    <n v="45"/>
    <s v="SFS_Venta sin Traspaso"/>
    <x v="45"/>
    <s v="OMS FF - SFS - Sin traspaso-validacion de orden puesta en local sin receta"/>
    <m/>
    <s v="Validar que la orden simple con productos es puesta en local"/>
    <s v=" Validar que se puede ingresar a la sección de ordenes de recogida y validar que se puede abrir y visualizar el detalle de la orden con su receta previamente validada."/>
    <x v="15"/>
    <s v="lbenavidez_co"/>
    <x v="1"/>
    <x v="3"/>
    <x v="1"/>
  </r>
  <r>
    <m/>
    <m/>
    <x v="10"/>
    <m/>
    <m/>
    <m/>
    <m/>
    <x v="16"/>
    <s v="apuentes_co"/>
    <x v="1"/>
    <x v="1"/>
    <x v="1"/>
  </r>
  <r>
    <m/>
    <m/>
    <x v="10"/>
    <m/>
    <m/>
    <m/>
    <m/>
    <x v="17"/>
    <s v="lbenavidez_co"/>
    <x v="1"/>
    <x v="1"/>
    <x v="1"/>
  </r>
  <r>
    <m/>
    <m/>
    <x v="10"/>
    <m/>
    <m/>
    <m/>
    <m/>
    <x v="18"/>
    <s v="srishti_prfwr"/>
    <x v="2"/>
    <x v="3"/>
    <x v="3"/>
  </r>
  <r>
    <n v="46"/>
    <s v="SFS_Venta sin Traspaso"/>
    <x v="46"/>
    <s v="OMS FF - SFS -Venta sin Traspaso - 3PL - Validación Servicio 3PL"/>
    <m/>
    <s v="Validar la creación del &quot;Servicio de Despacho&quot; de forma automática en los servicios de MU a través del OMS, una vez finalizado la creación de la oden de compra  con todos los datos de entrega entregados por el cliente"/>
    <s v="1.- Se espera poder verificar sistemáticamente que la orden generada automáticamente por el OMS, se establezca en los sistemas de MU"/>
    <x v="15"/>
    <s v="lbenavidez_co"/>
    <x v="1"/>
    <x v="3"/>
    <x v="1"/>
  </r>
  <r>
    <m/>
    <m/>
    <x v="10"/>
    <m/>
    <m/>
    <m/>
    <m/>
    <x v="16"/>
    <s v="apuentes_co"/>
    <x v="1"/>
    <x v="1"/>
    <x v="1"/>
  </r>
  <r>
    <m/>
    <m/>
    <x v="10"/>
    <m/>
    <m/>
    <m/>
    <m/>
    <x v="17"/>
    <s v="lbenavidez_co"/>
    <x v="1"/>
    <x v="1"/>
    <x v="1"/>
  </r>
  <r>
    <m/>
    <m/>
    <x v="10"/>
    <m/>
    <m/>
    <m/>
    <m/>
    <x v="18"/>
    <s v="srishti_prfwr"/>
    <x v="2"/>
    <x v="3"/>
    <x v="3"/>
  </r>
  <r>
    <n v="47"/>
    <s v="3PL - SFS_Venta sin Traspaso"/>
    <x v="47"/>
    <s v="OMS - 3PL - Pickup  - Creación"/>
    <m/>
    <s v="Validar la creación de la tarea de Pickup en la plataforma de Mensajeros urbanos "/>
    <s v="Validar la creación de la tarea de delivery comprobando que se guardaron correctamente los campos enviados en la creación de la tarea de pickup."/>
    <x v="15"/>
    <s v="lbenavidez_co"/>
    <x v="1"/>
    <x v="3"/>
    <x v="1"/>
  </r>
  <r>
    <m/>
    <m/>
    <x v="10"/>
    <m/>
    <m/>
    <m/>
    <m/>
    <x v="16"/>
    <s v="apuentes_co"/>
    <x v="1"/>
    <x v="1"/>
    <x v="1"/>
  </r>
  <r>
    <m/>
    <m/>
    <x v="10"/>
    <m/>
    <m/>
    <m/>
    <m/>
    <x v="17"/>
    <s v="lbenavidez_co"/>
    <x v="1"/>
    <x v="1"/>
    <x v="1"/>
  </r>
  <r>
    <m/>
    <m/>
    <x v="10"/>
    <m/>
    <m/>
    <m/>
    <m/>
    <x v="18"/>
    <s v="srishti_prfwr"/>
    <x v="2"/>
    <x v="3"/>
    <x v="3"/>
  </r>
  <r>
    <n v="48"/>
    <s v="3PL - SFS_Venta sin Traspaso"/>
    <x v="48"/>
    <s v="OMS FF - SFS -Venta sin Traspaso - 3PL - Validación Solicitud de Despacho"/>
    <m/>
    <s v="Validar el detalle de la solicitud de servicio de despacho en los sistemas de MU"/>
    <s v="1.- Visualización del detalle de la orden_x000a_2.- Datos correctos de Solicitud de Servicio _x000a_- Origen_x000a_- Destino_x000a_- SLA de entrega_x000a_- Número de orden "/>
    <x v="15"/>
    <s v="lbenavidez_co"/>
    <x v="1"/>
    <x v="3"/>
    <x v="1"/>
  </r>
  <r>
    <m/>
    <m/>
    <x v="10"/>
    <m/>
    <m/>
    <m/>
    <m/>
    <x v="16"/>
    <s v="apuentes_co"/>
    <x v="1"/>
    <x v="1"/>
    <x v="1"/>
  </r>
  <r>
    <m/>
    <m/>
    <x v="10"/>
    <m/>
    <m/>
    <m/>
    <m/>
    <x v="17"/>
    <s v="lbenavidez_co"/>
    <x v="1"/>
    <x v="1"/>
    <x v="1"/>
  </r>
  <r>
    <m/>
    <m/>
    <x v="10"/>
    <m/>
    <m/>
    <m/>
    <m/>
    <x v="18"/>
    <s v="srishti_prfwr"/>
    <x v="2"/>
    <x v="3"/>
    <x v="3"/>
  </r>
  <r>
    <n v="49"/>
    <s v="3PL - SFS_Venta sin Traspaso"/>
    <x v="49"/>
    <s v="OMS - 3PL - Consulta -orden"/>
    <m/>
    <s v="Validar la consulta de detalle de tareas a través de un número de orden"/>
    <s v="Al momento de realizar esta prueba deben coordinar con rodrigo@Mensajeros urbanos app.com para tomar la evidencia desde nuestras plataformas internas"/>
    <x v="15"/>
    <s v="lbenavidez_co"/>
    <x v="1"/>
    <x v="3"/>
    <x v="1"/>
  </r>
  <r>
    <m/>
    <m/>
    <x v="10"/>
    <m/>
    <m/>
    <m/>
    <m/>
    <x v="16"/>
    <s v="apuentes_co"/>
    <x v="1"/>
    <x v="1"/>
    <x v="1"/>
  </r>
  <r>
    <m/>
    <m/>
    <x v="10"/>
    <m/>
    <m/>
    <m/>
    <m/>
    <x v="17"/>
    <s v="lbenavidez_co"/>
    <x v="1"/>
    <x v="1"/>
    <x v="1"/>
  </r>
  <r>
    <m/>
    <m/>
    <x v="10"/>
    <m/>
    <m/>
    <m/>
    <m/>
    <x v="18"/>
    <s v="srishti_prfwr"/>
    <x v="2"/>
    <x v="3"/>
    <x v="3"/>
  </r>
  <r>
    <n v="50"/>
    <s v="SFS_Venta sin Traspaso"/>
    <x v="50"/>
    <s v="OMS FF -  SFS - Venta sin traspaso picking  : validar la comanda para el picking list  "/>
    <m/>
    <s v="Se revisará que al ingresar a plataforma, se visualicen las ordenes en espera de picking y permita iniciar el picking de una nueva orden"/>
    <s v="1.- Validar que la Orden se queme de la lista &quot;Ordenes para recogida&quot; y pase ala sección &quot;Ordenes para Embalaje&quot; "/>
    <x v="15"/>
    <s v="lbenavidez_co"/>
    <x v="1"/>
    <x v="3"/>
    <x v="1"/>
  </r>
  <r>
    <m/>
    <m/>
    <x v="10"/>
    <m/>
    <m/>
    <m/>
    <m/>
    <x v="16"/>
    <s v="apuentes_co"/>
    <x v="1"/>
    <x v="1"/>
    <x v="1"/>
  </r>
  <r>
    <m/>
    <m/>
    <x v="10"/>
    <m/>
    <m/>
    <m/>
    <m/>
    <x v="17"/>
    <s v="lbenavidez_co"/>
    <x v="1"/>
    <x v="1"/>
    <x v="1"/>
  </r>
  <r>
    <m/>
    <m/>
    <x v="10"/>
    <m/>
    <m/>
    <m/>
    <m/>
    <x v="18"/>
    <s v="srishti_prfwr"/>
    <x v="2"/>
    <x v="3"/>
    <x v="3"/>
  </r>
  <r>
    <n v="51"/>
    <s v="SFS_Venta sin Traspaso"/>
    <x v="51"/>
    <s v="OMS FF - SFS -Venta sin Traspaso - Packing - Visualización"/>
    <m/>
    <s v="Validar la visualización de todas las ordenes de despacho listas para ser embaladas "/>
    <s v="1.- Validar listado de &quot;Ordenes para embalaje&quot; y visualizar el listado de ordenes esperando la acción_x000a_"/>
    <x v="15"/>
    <s v="lbenavidez_co"/>
    <x v="1"/>
    <x v="3"/>
    <x v="1"/>
  </r>
  <r>
    <m/>
    <m/>
    <x v="10"/>
    <m/>
    <m/>
    <m/>
    <m/>
    <x v="16"/>
    <s v="apuentes_co"/>
    <x v="1"/>
    <x v="1"/>
    <x v="1"/>
  </r>
  <r>
    <m/>
    <m/>
    <x v="10"/>
    <m/>
    <m/>
    <m/>
    <m/>
    <x v="17"/>
    <s v="lbenavidez_co"/>
    <x v="1"/>
    <x v="1"/>
    <x v="1"/>
  </r>
  <r>
    <m/>
    <m/>
    <x v="10"/>
    <m/>
    <m/>
    <m/>
    <m/>
    <x v="18"/>
    <s v="srishti_prfwr"/>
    <x v="2"/>
    <x v="3"/>
    <x v="3"/>
  </r>
  <r>
    <n v="52"/>
    <s v="SFS_Venta sin Traspaso"/>
    <x v="52"/>
    <s v="OMS FF - SFS -Venta sin Traspaso - Packing - Validación Etiquetas Impresas - Packing Finalizado"/>
    <m/>
    <s v="Validar el inicio y finalización de ordenes en la sección &quot;Ordenes  para embalaje&quot;  o Packing , además de la impresión de la etiqueta de verificación de pedido/cliente"/>
    <s v="1.- Validar finalización de proceso de packing y que al presionar &quot;finalizar Packing&quot; el dispositivo envíe una orden y se imprima la etiqueta con los datos correctos en ella. _x000a_-_x0009_Nro Orden_x000a_-_x0009_Rut Cliente Compra_x000a_-_x0009_Rut Cliente Retira_x000a_-_x0009_Método de Fulfillment (Despacho a Domicilio)_x000a_-_x0009_Fecha de Compra / Hora_x000a_-_x0009_Nro Local _x000a_"/>
    <x v="0"/>
    <s v=""/>
    <x v="0"/>
    <x v="0"/>
    <x v="0"/>
  </r>
  <r>
    <n v="53"/>
    <s v="SFS_Venta sin Traspaso"/>
    <x v="53"/>
    <s v="OMS FF - SFS -Venta sin Traspaso - Packing - Validación Etiquetas Impresas - Queme de Orden"/>
    <m/>
    <s v="Validar el inicio y finalización de ordenes en la sección &quot;Ordenes  para embalaje&quot;  o Packing , además de la impresión de la etiqueta de verificación de pedido/cliente"/>
    <s v="1.- Validar que orden con Packinkg finalizado se &quot;queme&quot; de este listado y sea agregada a la lista de &quot;Ordenes para envío&quot;"/>
    <x v="0"/>
    <s v=""/>
    <x v="0"/>
    <x v="0"/>
    <x v="0"/>
  </r>
  <r>
    <n v="54"/>
    <s v="SFS_Venta sin Traspaso"/>
    <x v="54"/>
    <s v="OMS FF - SFS -Venta sin Traspaso - Validación de &quot;Orden en Envío&quot;"/>
    <m/>
    <s v="Validar que una vez finalizado el Packing la orden viaje correctamente a la cola de &quot;Ordenes de Envío&quot;"/>
    <s v="1.- Validar  que las ordenes con packing finalizado viajan correctamente a la cola para ser entregadas. _x000a_"/>
    <x v="15"/>
    <s v="lbenavidez_co"/>
    <x v="1"/>
    <x v="3"/>
    <x v="1"/>
  </r>
  <r>
    <m/>
    <m/>
    <x v="10"/>
    <m/>
    <m/>
    <m/>
    <m/>
    <x v="16"/>
    <s v="apuentes_co"/>
    <x v="1"/>
    <x v="1"/>
    <x v="1"/>
  </r>
  <r>
    <m/>
    <m/>
    <x v="10"/>
    <m/>
    <m/>
    <m/>
    <m/>
    <x v="17"/>
    <s v="lbenavidez_co"/>
    <x v="1"/>
    <x v="1"/>
    <x v="1"/>
  </r>
  <r>
    <m/>
    <m/>
    <x v="10"/>
    <m/>
    <m/>
    <m/>
    <m/>
    <x v="18"/>
    <s v="srishti_prfwr"/>
    <x v="2"/>
    <x v="3"/>
    <x v="3"/>
  </r>
  <r>
    <n v="55"/>
    <s v="3PL - SFS_Venta sin Traspaso"/>
    <x v="55"/>
    <s v="OMS FF - SFS -Venta sin Traspaso - Validar entrega a 3PL (Pick up)"/>
    <m/>
    <s v="Entrega de la orden lista al motorizado asignado por MU, para enviar la orden al cliente"/>
    <s v="1.- Validar poder escanear o ingresar el código del packing para hacer el match con la orden a entregar y que el sistema &quot;queme&quot; esa orden y salga del listado de &quot;Ordenes para envío&quot; _x000a_"/>
    <x v="15"/>
    <s v="lbenavidez_co"/>
    <x v="1"/>
    <x v="3"/>
    <x v="1"/>
  </r>
  <r>
    <m/>
    <m/>
    <x v="10"/>
    <m/>
    <m/>
    <m/>
    <m/>
    <x v="16"/>
    <s v="apuentes_co"/>
    <x v="1"/>
    <x v="1"/>
    <x v="1"/>
  </r>
  <r>
    <m/>
    <m/>
    <x v="10"/>
    <m/>
    <m/>
    <m/>
    <m/>
    <x v="17"/>
    <s v="lbenavidez_co"/>
    <x v="1"/>
    <x v="1"/>
    <x v="1"/>
  </r>
  <r>
    <m/>
    <m/>
    <x v="10"/>
    <m/>
    <m/>
    <m/>
    <m/>
    <x v="18"/>
    <s v="srishti_prfwr"/>
    <x v="2"/>
    <x v="3"/>
    <x v="3"/>
  </r>
  <r>
    <n v="56"/>
    <s v="3PL - SFS_Venta sin Traspaso"/>
    <x v="56"/>
    <s v="OMS - Valor venta menor  a $150.000"/>
    <m/>
    <s v="Validar que  cuando el valor de la venta sea menor a $150.000 en efectivo  el 3PL sea el encargado de pagarle a la tienda antes de que sea entregado el pedido."/>
    <s v="Validar la creación de la tarea de delivery comprobando que se guardaron correctamente los campos enviados en la creación de la tarea de delivery."/>
    <x v="15"/>
    <s v="lbenavidez_co"/>
    <x v="1"/>
    <x v="3"/>
    <x v="1"/>
  </r>
  <r>
    <m/>
    <m/>
    <x v="10"/>
    <m/>
    <m/>
    <m/>
    <m/>
    <x v="16"/>
    <s v="apuentes_co"/>
    <x v="1"/>
    <x v="1"/>
    <x v="1"/>
  </r>
  <r>
    <m/>
    <m/>
    <x v="10"/>
    <m/>
    <m/>
    <m/>
    <m/>
    <x v="17"/>
    <s v="lbenavidez_co"/>
    <x v="1"/>
    <x v="1"/>
    <x v="1"/>
  </r>
  <r>
    <m/>
    <m/>
    <x v="10"/>
    <m/>
    <m/>
    <m/>
    <m/>
    <x v="18"/>
    <s v="srishti_prfwr"/>
    <x v="2"/>
    <x v="3"/>
    <x v="3"/>
  </r>
  <r>
    <n v="57"/>
    <s v="3PL - SFS_Venta sin Traspaso"/>
    <x v="57"/>
    <s v="OMS - Valor venta mayor  a $150.000"/>
    <m/>
    <s v="Validar  que  cuando el valor de la venta sea mayor a $150.000 en efectivo  el 3PL entregue el pedido, reciba el dinero y regrese a la tienda para cancelar el excendete"/>
    <s v="El 3PL paga a la tienda antes de hacer la entrega al cliente.   Se genera el servicio de mensajeria por ida"/>
    <x v="15"/>
    <s v="lbenavidez_co"/>
    <x v="1"/>
    <x v="3"/>
    <x v="1"/>
  </r>
  <r>
    <m/>
    <m/>
    <x v="10"/>
    <m/>
    <m/>
    <m/>
    <m/>
    <x v="16"/>
    <s v="apuentes_co"/>
    <x v="1"/>
    <x v="1"/>
    <x v="1"/>
  </r>
  <r>
    <m/>
    <m/>
    <x v="10"/>
    <m/>
    <m/>
    <m/>
    <m/>
    <x v="17"/>
    <s v="lbenavidez_co"/>
    <x v="1"/>
    <x v="1"/>
    <x v="1"/>
  </r>
  <r>
    <m/>
    <m/>
    <x v="10"/>
    <m/>
    <m/>
    <m/>
    <m/>
    <x v="18"/>
    <s v="srishti_prfwr"/>
    <x v="2"/>
    <x v="3"/>
    <x v="3"/>
  </r>
  <r>
    <n v="58"/>
    <s v="3PL - SFS_Reasignación"/>
    <x v="58"/>
    <s v="OMS - 3PL- Cancelacion 3PL "/>
    <m/>
    <s v="Validar que el OMS cancele el servicio de motorizado pasado los 20 min sin realizar picking"/>
    <s v="El sistema cancela el servicio automaticamente."/>
    <x v="15"/>
    <s v="lbenavidez_co"/>
    <x v="1"/>
    <x v="3"/>
    <x v="1"/>
  </r>
  <r>
    <m/>
    <m/>
    <x v="10"/>
    <m/>
    <m/>
    <m/>
    <m/>
    <x v="16"/>
    <s v="apuentes_co"/>
    <x v="1"/>
    <x v="1"/>
    <x v="1"/>
  </r>
  <r>
    <m/>
    <m/>
    <x v="10"/>
    <m/>
    <m/>
    <m/>
    <m/>
    <x v="17"/>
    <s v="lbenavidez_co"/>
    <x v="1"/>
    <x v="1"/>
    <x v="1"/>
  </r>
  <r>
    <m/>
    <m/>
    <x v="10"/>
    <m/>
    <m/>
    <m/>
    <m/>
    <x v="18"/>
    <s v="srishti_prfwr"/>
    <x v="2"/>
    <x v="3"/>
    <x v="3"/>
  </r>
  <r>
    <n v="59"/>
    <s v="3PL - SFS_Reasignación"/>
    <x v="59"/>
    <s v="OMS - 3PL - Pickup  - Creacion - 1ra Reasignación"/>
    <m/>
    <s v="Validar que  una vez   se registre escazes el sistema haga la reasignacion de tienda y se cree el nuevo servicio 3PL"/>
    <s v="Se crea el nuevo servicio de motorizado para la nueva tienda  en la plataforma de MU"/>
    <x v="15"/>
    <s v="lbenavidez_co"/>
    <x v="1"/>
    <x v="3"/>
    <x v="1"/>
  </r>
  <r>
    <m/>
    <m/>
    <x v="10"/>
    <m/>
    <m/>
    <m/>
    <m/>
    <x v="16"/>
    <s v="apuentes_co"/>
    <x v="1"/>
    <x v="1"/>
    <x v="1"/>
  </r>
  <r>
    <m/>
    <m/>
    <x v="10"/>
    <m/>
    <m/>
    <m/>
    <m/>
    <x v="17"/>
    <s v="lbenavidez_co"/>
    <x v="1"/>
    <x v="1"/>
    <x v="1"/>
  </r>
  <r>
    <m/>
    <m/>
    <x v="10"/>
    <m/>
    <m/>
    <m/>
    <m/>
    <x v="18"/>
    <s v="srishti_prfwr"/>
    <x v="2"/>
    <x v="3"/>
    <x v="3"/>
  </r>
  <r>
    <n v="60"/>
    <s v="SFS_Reasignación"/>
    <x v="60"/>
    <s v="OMS FF - SFS Reasignación de Orden - Generación de Traspaso"/>
    <m/>
    <s v="Ante falta de Stock de una/s lineas de la orden, OMS generará un traspaso automáticamente a una Big Store"/>
    <s v="Validar:_x000a_1.- que al presionar falta de stock la orden sea traspasda completamente a la Big Store asignada al local original_x000a_2.- que la razón del quiebre sea correctamente ingresado_x000a_3.- que los productos que fueron pickeados antes de encontrar la línea con quiebre, sean &quot;Eliminados&quot; de la orden y no queden como pickeados en el sistema_x000a_4.- que la orden finalice el picking y sea quemada del listado de &quot;ordenes de recogida&quot;"/>
    <x v="15"/>
    <s v="lbenavidez_co"/>
    <x v="1"/>
    <x v="3"/>
    <x v="1"/>
  </r>
  <r>
    <m/>
    <m/>
    <x v="10"/>
    <m/>
    <m/>
    <m/>
    <m/>
    <x v="16"/>
    <s v="apuentes_co"/>
    <x v="1"/>
    <x v="1"/>
    <x v="1"/>
  </r>
  <r>
    <m/>
    <m/>
    <x v="10"/>
    <m/>
    <m/>
    <m/>
    <m/>
    <x v="17"/>
    <s v="lbenavidez_co"/>
    <x v="1"/>
    <x v="1"/>
    <x v="1"/>
  </r>
  <r>
    <m/>
    <m/>
    <x v="10"/>
    <m/>
    <m/>
    <m/>
    <m/>
    <x v="18"/>
    <s v="srishti_prfwr"/>
    <x v="2"/>
    <x v="3"/>
    <x v="3"/>
  </r>
  <r>
    <n v="61"/>
    <s v="SFS_Reasignación"/>
    <x v="61"/>
    <s v="OMS FF - SFS - Reasignación de Orden - Picking-Big Store - Picking"/>
    <m/>
    <s v="Se revisará que al ingresar a plataforma, se visualicen las ordenes en espera de picking y permita iniciar el picking de una nueva orden en local Big Store, después de haber solicitado un traspaso el local original"/>
    <s v="1.- Validar poder escanear o ingresar el código del packing para hacer el match con la orden a entregar y que el sistema &quot;queme&quot; esa orden y salga del listado de &quot;Ordenes para envío&quot; "/>
    <x v="15"/>
    <s v="lbenavidez_co"/>
    <x v="1"/>
    <x v="3"/>
    <x v="1"/>
  </r>
  <r>
    <m/>
    <m/>
    <x v="10"/>
    <m/>
    <m/>
    <m/>
    <m/>
    <x v="16"/>
    <s v="apuentes_co"/>
    <x v="1"/>
    <x v="1"/>
    <x v="1"/>
  </r>
  <r>
    <m/>
    <m/>
    <x v="10"/>
    <m/>
    <m/>
    <m/>
    <m/>
    <x v="17"/>
    <s v="lbenavidez_co"/>
    <x v="1"/>
    <x v="1"/>
    <x v="1"/>
  </r>
  <r>
    <m/>
    <m/>
    <x v="10"/>
    <m/>
    <m/>
    <m/>
    <m/>
    <x v="18"/>
    <s v="srishti_prfwr"/>
    <x v="2"/>
    <x v="3"/>
    <x v="3"/>
  </r>
  <r>
    <n v="62"/>
    <s v="3PL - SFS_Reasignación"/>
    <x v="62"/>
    <s v="OMS FF - SFS - Reasignación de Orden - Big Store - Validación Servicio 3PL"/>
    <m/>
    <s v="Validar la creación del &quot;Servicio de Despacho&quot; de forma automática en los servicios de Mensajeros urbanos  a través del OMS con los datos de la nueva tienda de Origen, una vez realizada la reasignaciona Big Store."/>
    <s v="Validar:_x000a_1.- que al seleccionar una orden, esta se abra y se visualice el detalle_x000a_2.- que al comenzar el picking se vayan &quot;quemando&quot; los productos ya pickeados por ambos métodos (código manual y scanner)_x000a_3.- que la orden se &quot;queme&quot; de la lista de &quot;Ordenes para recogida&quot;_x000a_4.- que la orden pase a la sección de &quot;ordenes para embalaje&quot; "/>
    <x v="15"/>
    <s v="lbenavidez_co"/>
    <x v="1"/>
    <x v="3"/>
    <x v="1"/>
  </r>
  <r>
    <m/>
    <m/>
    <x v="10"/>
    <m/>
    <m/>
    <m/>
    <m/>
    <x v="16"/>
    <s v="apuentes_co"/>
    <x v="1"/>
    <x v="1"/>
    <x v="1"/>
  </r>
  <r>
    <m/>
    <m/>
    <x v="10"/>
    <m/>
    <m/>
    <m/>
    <m/>
    <x v="17"/>
    <s v="lbenavidez_co"/>
    <x v="1"/>
    <x v="1"/>
    <x v="1"/>
  </r>
  <r>
    <m/>
    <m/>
    <x v="10"/>
    <m/>
    <m/>
    <m/>
    <m/>
    <x v="18"/>
    <s v="srishti_prfwr"/>
    <x v="2"/>
    <x v="3"/>
    <x v="3"/>
  </r>
  <r>
    <n v="63"/>
    <s v="SFS_Reasignación"/>
    <x v="63"/>
    <s v="OMS FF - SFS - Reasignación de Orden - Packing - Big Store - Validación Etiquetas Impresas - Packing Finalizado"/>
    <m/>
    <s v="Validar el inicio y finalización de ordenes en la sección &quot;Ordenes  para embalaje&quot;  o Packing , además de la impresión de la etiqueta de verificación de pedido/cliente"/>
    <s v="1.- Validar que la orden generada automáticamente por el OMS, se establezca en los sistemas de Mensajeros urbanos  y que los datos en la solicitud de servicio venga con los datos de la nueva tienda de Origen"/>
    <x v="15"/>
    <s v="lbenavidez_co"/>
    <x v="1"/>
    <x v="3"/>
    <x v="1"/>
  </r>
  <r>
    <m/>
    <m/>
    <x v="10"/>
    <m/>
    <m/>
    <m/>
    <m/>
    <x v="16"/>
    <s v="apuentes_co"/>
    <x v="1"/>
    <x v="1"/>
    <x v="1"/>
  </r>
  <r>
    <m/>
    <m/>
    <x v="10"/>
    <m/>
    <m/>
    <m/>
    <m/>
    <x v="17"/>
    <s v="lbenavidez_co"/>
    <x v="1"/>
    <x v="1"/>
    <x v="1"/>
  </r>
  <r>
    <m/>
    <m/>
    <x v="10"/>
    <m/>
    <m/>
    <m/>
    <m/>
    <x v="18"/>
    <s v="srishti_prfwr"/>
    <x v="2"/>
    <x v="3"/>
    <x v="3"/>
  </r>
  <r>
    <n v="64"/>
    <s v="SFS_Reasignación"/>
    <x v="64"/>
    <s v="OMS FF - SFS -Validación Etiquetas Impresas - Packing Finalizado"/>
    <m/>
    <s v="Validar que Orden con Packing finalizado sea quemada desde listado "/>
    <s v="1.- Validar finalización que el proceso de packing  y al presionar &quot;finalizar Packing&quot; que el dispositivo envíe una orden y se imprima la etiqueta con los datos correctos en ella. _x000a_-_x0009_Nro Orden_x000a_-_x0009_Cédula  Cliente Compra_x000a_-_x0009_Cédula  Cliente Retira_x000a_-_x0009_Método de Fulfillment (Despacho a Domicilio)_x000a_-_x0009_Fecha de Compra / Hora_x000a_-_x0009_Nro Local (nuevo Local Asignado)_x000a_3.- Se espera que la orden se &quot;queme&quot; de este listado y sea agregada a la lista de &quot;Ordenes para envío&quot;"/>
    <x v="15"/>
    <s v="lbenavidez_co"/>
    <x v="1"/>
    <x v="3"/>
    <x v="1"/>
  </r>
  <r>
    <m/>
    <m/>
    <x v="10"/>
    <m/>
    <m/>
    <m/>
    <m/>
    <x v="16"/>
    <s v="apuentes_co"/>
    <x v="1"/>
    <x v="1"/>
    <x v="1"/>
  </r>
  <r>
    <m/>
    <m/>
    <x v="10"/>
    <m/>
    <m/>
    <m/>
    <m/>
    <x v="17"/>
    <s v="lbenavidez_co"/>
    <x v="1"/>
    <x v="1"/>
    <x v="1"/>
  </r>
  <r>
    <m/>
    <m/>
    <x v="10"/>
    <m/>
    <m/>
    <m/>
    <m/>
    <x v="18"/>
    <s v="srishti_prfwr"/>
    <x v="2"/>
    <x v="3"/>
    <x v="3"/>
  </r>
  <r>
    <n v="65"/>
    <s v="SFS_Reasignación"/>
    <x v="65"/>
    <s v="OMS FF - SFS -Validar que una vez finalizado el Packing la orden viaje correctamente a la cola de &quot;Ordenes de Envío&quot;"/>
    <m/>
    <s v="Las ordenes enlistadas deben haber finalizado el packing y estar con su etiqueta impresa en el paquete de envío"/>
    <s v="1.- Validar que la orden con Packing Finalizado y Etiqueta impresa se &quot;queme&quot; de este listado y sea agregada a la lista de &quot;Ordenes para envío&quot;"/>
    <x v="15"/>
    <s v="lbenavidez_co"/>
    <x v="1"/>
    <x v="3"/>
    <x v="1"/>
  </r>
  <r>
    <m/>
    <m/>
    <x v="10"/>
    <m/>
    <m/>
    <m/>
    <m/>
    <x v="16"/>
    <s v="apuentes_co"/>
    <x v="1"/>
    <x v="1"/>
    <x v="1"/>
  </r>
  <r>
    <m/>
    <m/>
    <x v="10"/>
    <m/>
    <m/>
    <m/>
    <m/>
    <x v="17"/>
    <s v="lbenavidez_co"/>
    <x v="1"/>
    <x v="1"/>
    <x v="1"/>
  </r>
  <r>
    <m/>
    <m/>
    <x v="10"/>
    <m/>
    <m/>
    <m/>
    <m/>
    <x v="18"/>
    <s v="srishti_prfwr"/>
    <x v="2"/>
    <x v="3"/>
    <x v="3"/>
  </r>
  <r>
    <n v="66"/>
    <s v="3PL - SFS_Reasignación"/>
    <x v="66"/>
    <s v="OMS FF - SFS -Reasignación de Orden - Big Store - Validación entrega a 3PL"/>
    <m/>
    <s v="Validar la entrega al motorizado asignado por Mensajeros urbanos, para enviar la orden al cliente"/>
    <s v="1.- Validar que las ordenes con packing finalizado viajan correctamente a la cola para ser entregadas. "/>
    <x v="15"/>
    <s v="lbenavidez_co"/>
    <x v="1"/>
    <x v="3"/>
    <x v="1"/>
  </r>
  <r>
    <m/>
    <m/>
    <x v="10"/>
    <m/>
    <m/>
    <m/>
    <m/>
    <x v="16"/>
    <s v="apuentes_co"/>
    <x v="1"/>
    <x v="1"/>
    <x v="1"/>
  </r>
  <r>
    <m/>
    <m/>
    <x v="10"/>
    <m/>
    <m/>
    <m/>
    <m/>
    <x v="17"/>
    <s v="lbenavidez_co"/>
    <x v="1"/>
    <x v="1"/>
    <x v="1"/>
  </r>
  <r>
    <m/>
    <m/>
    <x v="10"/>
    <m/>
    <m/>
    <m/>
    <m/>
    <x v="18"/>
    <s v="srishti_prfwr"/>
    <x v="2"/>
    <x v="3"/>
    <x v="3"/>
  </r>
  <r>
    <n v="67"/>
    <s v="3PL - SFS_2da_Reasignación"/>
    <x v="67"/>
    <s v="OMS - 3PL - Cancelacion 3PL - 2da_Reasignación"/>
    <m/>
    <s v="Validar que el OMS cancele el servisio de motorizado pasado los 20 min sin realizar picking en la 2 tienda."/>
    <s v="Validar:_x000a_1.- que al presionar falta de stock la orden sea traspasda completamente a la 3ra tienda más cercana_x000a_2.- que la razón del quiebre sea correctamente ingresado_x000a_3.- que los productos que fueron pickeados antes de encontrar la línea con quiebre, sean &quot;Eliminados&quot; de la orden y no queden como pickeados en el sistema_x000a_4.- que la orden finalice el picking y sea quemada del listado de &quot;ordenes de recogida&quot;"/>
    <x v="15"/>
    <s v="lbenavidez_co"/>
    <x v="1"/>
    <x v="3"/>
    <x v="1"/>
  </r>
  <r>
    <m/>
    <m/>
    <x v="10"/>
    <m/>
    <m/>
    <m/>
    <m/>
    <x v="16"/>
    <s v="apuentes_co"/>
    <x v="1"/>
    <x v="1"/>
    <x v="1"/>
  </r>
  <r>
    <m/>
    <m/>
    <x v="10"/>
    <m/>
    <m/>
    <m/>
    <m/>
    <x v="17"/>
    <s v="lbenavidez_co"/>
    <x v="1"/>
    <x v="1"/>
    <x v="1"/>
  </r>
  <r>
    <m/>
    <m/>
    <x v="10"/>
    <m/>
    <m/>
    <m/>
    <m/>
    <x v="18"/>
    <s v="srishti_prfwr"/>
    <x v="2"/>
    <x v="3"/>
    <x v="3"/>
  </r>
  <r>
    <n v="68"/>
    <s v="SFS_2da_Reasignación"/>
    <x v="68"/>
    <s v="OMS FF - SFS -  2da Reasignación de Orden - Generación de Traspaso"/>
    <m/>
    <s v="Ante falta de Stock de una/s lineas de la orden después de haber realizado la primera re-asignación, OMS generará un traspaso automáticamente a una 3ra Tienda"/>
    <s v="Validar:_x000a_1.- que al presionar falta de stock la orden sea traspasda completamente a la 3ra tienda más cercana_x000a_2.- que la razón del quiebre sea correctamente ingresado_x000a_3.- que los productos que fueron pickeados antes de encontrar la línea con quiebre, sean &quot;Eliminados&quot; de la orden y no queden como pickeados en el sistema_x000a_4.- que la orden finalice el picking y sea quemada del listado de &quot;ordenes de recogida&quot;"/>
    <x v="15"/>
    <s v="lbenavidez_co"/>
    <x v="1"/>
    <x v="3"/>
    <x v="1"/>
  </r>
  <r>
    <m/>
    <m/>
    <x v="10"/>
    <m/>
    <m/>
    <m/>
    <m/>
    <x v="16"/>
    <s v="apuentes_co"/>
    <x v="1"/>
    <x v="1"/>
    <x v="1"/>
  </r>
  <r>
    <m/>
    <m/>
    <x v="10"/>
    <m/>
    <m/>
    <m/>
    <m/>
    <x v="17"/>
    <s v="lbenavidez_co"/>
    <x v="1"/>
    <x v="1"/>
    <x v="1"/>
  </r>
  <r>
    <m/>
    <m/>
    <x v="10"/>
    <m/>
    <m/>
    <m/>
    <m/>
    <x v="18"/>
    <s v="srishti_prfwr"/>
    <x v="2"/>
    <x v="3"/>
    <x v="3"/>
  </r>
  <r>
    <n v="69"/>
    <s v="3PL - SFS_2da_Reasignación"/>
    <x v="69"/>
    <s v="OMS - 3PL - Pickup  - Creacion - 2da Reasignación"/>
    <m/>
    <s v="Validar una vez que el sistema haga la 2da reasignacion de tienda se crea el servicio 3PL"/>
    <s v="1.- Validar que sistema calcule y genere un correo automático al cliente comunicando el nuevo tiempo de entrega"/>
    <x v="15"/>
    <s v="lbenavidez_co"/>
    <x v="1"/>
    <x v="3"/>
    <x v="1"/>
  </r>
  <r>
    <m/>
    <m/>
    <x v="10"/>
    <m/>
    <m/>
    <m/>
    <m/>
    <x v="16"/>
    <s v="apuentes_co"/>
    <x v="1"/>
    <x v="1"/>
    <x v="1"/>
  </r>
  <r>
    <m/>
    <m/>
    <x v="10"/>
    <m/>
    <m/>
    <m/>
    <m/>
    <x v="17"/>
    <s v="lbenavidez_co"/>
    <x v="1"/>
    <x v="1"/>
    <x v="1"/>
  </r>
  <r>
    <m/>
    <m/>
    <x v="10"/>
    <m/>
    <m/>
    <m/>
    <m/>
    <x v="18"/>
    <s v="srishti_prfwr"/>
    <x v="2"/>
    <x v="3"/>
    <x v="3"/>
  </r>
  <r>
    <n v="70"/>
    <s v="SFS_2da_Reasignación"/>
    <x v="70"/>
    <s v="OMS FF - SFS -  2daReasignación de Orden - 3ra Tienda - Validación email a cliente con nuevo SLA"/>
    <m/>
    <s v="Al producirse un salto en la orden de despacho, podría ocurrir un cambio de SLA por falta de stock, en estos casos se enviará un correo al cliente comunicando el restraso o el nuevo SLA de entrega"/>
    <s v="1.- Validar que sistema calcule y genere un correo automático al cliente comunicando el nuevo tiempo de entrega"/>
    <x v="15"/>
    <s v="lbenavidez_co"/>
    <x v="1"/>
    <x v="3"/>
    <x v="1"/>
  </r>
  <r>
    <m/>
    <m/>
    <x v="10"/>
    <m/>
    <m/>
    <m/>
    <m/>
    <x v="16"/>
    <s v="apuentes_co"/>
    <x v="1"/>
    <x v="1"/>
    <x v="1"/>
  </r>
  <r>
    <m/>
    <m/>
    <x v="10"/>
    <m/>
    <m/>
    <m/>
    <m/>
    <x v="17"/>
    <s v="lbenavidez_co"/>
    <x v="1"/>
    <x v="1"/>
    <x v="1"/>
  </r>
  <r>
    <m/>
    <m/>
    <x v="10"/>
    <m/>
    <m/>
    <m/>
    <m/>
    <x v="18"/>
    <s v="srishti_prfwr"/>
    <x v="2"/>
    <x v="3"/>
    <x v="3"/>
  </r>
  <r>
    <n v="71"/>
    <s v="SFS_2da_Reasignación"/>
    <x v="71"/>
    <s v="OMS FF - SFS -  2da Reasignación de Orden  - Validación de Orden Puesta en3ra tienda por Traspaso  "/>
    <m/>
    <s v="Validar que la orden con productos puesta en local Big Store asignado por efectos de Traspaso"/>
    <s v="1.- Validar tanto el acceso al listado de ordenes para picking de la 3ra Tienda como a visualizar la orden traspasada desde la tienda anterior, con todo el detalle de la orden. "/>
    <x v="15"/>
    <s v="lbenavidez_co"/>
    <x v="1"/>
    <x v="3"/>
    <x v="1"/>
  </r>
  <r>
    <m/>
    <m/>
    <x v="10"/>
    <m/>
    <m/>
    <m/>
    <m/>
    <x v="16"/>
    <s v="apuentes_co"/>
    <x v="1"/>
    <x v="1"/>
    <x v="1"/>
  </r>
  <r>
    <m/>
    <m/>
    <x v="10"/>
    <m/>
    <m/>
    <m/>
    <m/>
    <x v="17"/>
    <s v="lbenavidez_co"/>
    <x v="1"/>
    <x v="1"/>
    <x v="1"/>
  </r>
  <r>
    <m/>
    <m/>
    <x v="10"/>
    <m/>
    <m/>
    <m/>
    <m/>
    <x v="18"/>
    <s v="srishti_prfwr"/>
    <x v="2"/>
    <x v="3"/>
    <x v="3"/>
  </r>
  <r>
    <n v="72"/>
    <s v="SFS_2da_Reasignación"/>
    <x v="72"/>
    <s v="OMS FF - SFS -  2da Reasignación de Orden - Picking 3ra Tienda - Picking"/>
    <m/>
    <s v="Se revisará que al ingresar a plataforma, se visualicen las ordenes en espera de picking y permita iniciar el picking de una nueva orden en local Big Store, después de haber solicitado un traspaso el local original"/>
    <s v="Validar:_x000a_1.- que al seleccionar una orden, esta se abra y se visualice el detalle_x000a_2.- que al comenzar el picking se vayan &quot;quemando&quot; los productos ya pickeados por ambos métodos (código manual y scanner)_x000a_3.- que la orden se &quot;queme&quot; de la lista de &quot;Ordenes para recogida&quot;_x000a_4.- que la orden pase a la sección de &quot;ordenes para embalaje&quot; "/>
    <x v="15"/>
    <s v="lbenavidez_co"/>
    <x v="1"/>
    <x v="3"/>
    <x v="1"/>
  </r>
  <r>
    <m/>
    <m/>
    <x v="10"/>
    <m/>
    <m/>
    <m/>
    <m/>
    <x v="16"/>
    <s v="apuentes_co"/>
    <x v="1"/>
    <x v="1"/>
    <x v="1"/>
  </r>
  <r>
    <m/>
    <m/>
    <x v="10"/>
    <m/>
    <m/>
    <m/>
    <m/>
    <x v="17"/>
    <s v="lbenavidez_co"/>
    <x v="1"/>
    <x v="1"/>
    <x v="1"/>
  </r>
  <r>
    <m/>
    <m/>
    <x v="10"/>
    <m/>
    <m/>
    <m/>
    <m/>
    <x v="18"/>
    <s v="srishti_prfwr"/>
    <x v="2"/>
    <x v="3"/>
    <x v="3"/>
  </r>
  <r>
    <n v="73"/>
    <s v="3PL - SFS_2da_Reasignación"/>
    <x v="73"/>
    <s v="OMS FF - SFS - 2da Reasignación de Orden - 3Ra Tienda - Validación Servicio 3PL"/>
    <m/>
    <s v="Validar la creación del &quot;Servicio de Despacho&quot; de forma automática en los servicios de MU a través del OMS con los datos de la nueva tienda de Origen, una vez finalizado el Picking con todos los datos de entrega entregados por el cliente"/>
    <s v="1.- Validar que la orden generada automáticamente por el OMS, se establezca en los sistemas de MU y que los datos en la solicitud de servicio venga con los datos de la nueva tienda de Origen"/>
    <x v="15"/>
    <s v="lbenavidez_co"/>
    <x v="1"/>
    <x v="3"/>
    <x v="1"/>
  </r>
  <r>
    <m/>
    <m/>
    <x v="10"/>
    <m/>
    <m/>
    <m/>
    <m/>
    <x v="16"/>
    <s v="apuentes_co"/>
    <x v="1"/>
    <x v="1"/>
    <x v="1"/>
  </r>
  <r>
    <m/>
    <m/>
    <x v="10"/>
    <m/>
    <m/>
    <m/>
    <m/>
    <x v="17"/>
    <s v="lbenavidez_co"/>
    <x v="1"/>
    <x v="1"/>
    <x v="1"/>
  </r>
  <r>
    <m/>
    <m/>
    <x v="10"/>
    <m/>
    <m/>
    <m/>
    <m/>
    <x v="18"/>
    <s v="srishti_prfwr"/>
    <x v="2"/>
    <x v="3"/>
    <x v="3"/>
  </r>
  <r>
    <n v="74"/>
    <s v="SFS_2da_Reasignación"/>
    <x v="74"/>
    <s v="OMS FF - SFS - 2da Reasignación de Orden - Packing - 3ra Tienda - Validación Etiquetas Impresas - Packing Finalizado"/>
    <m/>
    <s v="Validar el inicio y finalización de ordenes en la sección &quot;Ordenes  para embalaje&quot;  o Packing , además de la impresión de la etiqueta de verificación de pedido/cliente"/>
    <s v="1.- Validar finalización que el proceso de packing  y al presionar &quot;finalizar Packing&quot; que el dispositivo envíe una orden y se imprima la etiqueta con los datos correctos en ella. _x000a_-_x0009_Nro Orden_x000a_-_x0009_Rut Cliente Compra_x000a_-_x0009_Rut Cliente Retira_x000a_-_x0009_Método de Fulfillment (Despacho a Domicilio)_x000a_-_x0009_Fecha de Compra / Hora_x000a_-_x0009_Nro Local (nuevo Local Asignado)_x000a_3.- Se espera que la orden se &quot;queme&quot; de este listado y sea agregada a la lista de &quot;Ordenes para envío&quot;"/>
    <x v="15"/>
    <s v="lbenavidez_co"/>
    <x v="1"/>
    <x v="3"/>
    <x v="1"/>
  </r>
  <r>
    <m/>
    <m/>
    <x v="10"/>
    <m/>
    <m/>
    <m/>
    <m/>
    <x v="16"/>
    <s v="apuentes_co"/>
    <x v="1"/>
    <x v="1"/>
    <x v="1"/>
  </r>
  <r>
    <m/>
    <m/>
    <x v="10"/>
    <m/>
    <m/>
    <m/>
    <m/>
    <x v="17"/>
    <s v="lbenavidez_co"/>
    <x v="1"/>
    <x v="1"/>
    <x v="1"/>
  </r>
  <r>
    <m/>
    <m/>
    <x v="10"/>
    <m/>
    <m/>
    <m/>
    <m/>
    <x v="18"/>
    <s v="srishti_prfwr"/>
    <x v="2"/>
    <x v="3"/>
    <x v="3"/>
  </r>
  <r>
    <n v="75"/>
    <s v="SFS_2da_Reasignación"/>
    <x v="75"/>
    <s v="OMS FF - SFS - 2da Reasignación de Orden - Packing - 3ra Tienda - Validación Etiquetas Impresas - Packing Finalizado"/>
    <m/>
    <s v="Validar que Orden con Packing finalizado sea quemada desde listado "/>
    <s v="1.- Validar que la orden con Packing Finalizado y Etiqueta impresa se &quot;queme&quot; de este listado y sea agregada a la lista de &quot;Ordenes para envío&quot;"/>
    <x v="15"/>
    <s v="lbenavidez_co"/>
    <x v="1"/>
    <x v="3"/>
    <x v="1"/>
  </r>
  <r>
    <m/>
    <m/>
    <x v="10"/>
    <m/>
    <m/>
    <m/>
    <m/>
    <x v="16"/>
    <s v="apuentes_co"/>
    <x v="1"/>
    <x v="1"/>
    <x v="1"/>
  </r>
  <r>
    <m/>
    <m/>
    <x v="10"/>
    <m/>
    <m/>
    <m/>
    <m/>
    <x v="17"/>
    <s v="lbenavidez_co"/>
    <x v="1"/>
    <x v="1"/>
    <x v="1"/>
  </r>
  <r>
    <m/>
    <m/>
    <x v="10"/>
    <m/>
    <m/>
    <m/>
    <m/>
    <x v="18"/>
    <s v="srishti_prfwr"/>
    <x v="2"/>
    <x v="3"/>
    <x v="3"/>
  </r>
  <r>
    <n v="76"/>
    <s v="SFS_2da_Reasignación"/>
    <x v="76"/>
    <s v="OMS FF - SFS - 2da Reasignación de Orden - 3ra Tienda -Validación de &quot;Orden en Envío&quot;"/>
    <m/>
    <s v="Validar que una vez finalizado el Packing la orden viaje correctamente a la cola de &quot;Ordenes de Envío&quot;"/>
    <s v="1.- Validar que las ordenes con packing finalizado viajan correctamente a la cola para ser entregadas. _x000a_ "/>
    <x v="15"/>
    <s v="lbenavidez_co"/>
    <x v="1"/>
    <x v="3"/>
    <x v="1"/>
  </r>
  <r>
    <m/>
    <m/>
    <x v="10"/>
    <m/>
    <m/>
    <m/>
    <m/>
    <x v="16"/>
    <s v="apuentes_co"/>
    <x v="1"/>
    <x v="1"/>
    <x v="1"/>
  </r>
  <r>
    <m/>
    <m/>
    <x v="10"/>
    <m/>
    <m/>
    <m/>
    <m/>
    <x v="17"/>
    <s v="lbenavidez_co"/>
    <x v="1"/>
    <x v="1"/>
    <x v="1"/>
  </r>
  <r>
    <m/>
    <m/>
    <x v="10"/>
    <m/>
    <m/>
    <m/>
    <m/>
    <x v="18"/>
    <s v="srishti_prfwr"/>
    <x v="2"/>
    <x v="3"/>
    <x v="3"/>
  </r>
  <r>
    <n v="77"/>
    <s v="SFS_2da_Reasignación"/>
    <x v="77"/>
    <s v="OMS FF - SFS - 2da Reasignación de Orden - 3ra Tienda - Validación entrega a 3PL"/>
    <m/>
    <s v="Validar la entrega al motorizado asignado por MU, para enviar la orden al cliente"/>
    <s v="1.- Validar correcto escaneo o ingreso de código del packing para hacer el match con la orden a entregar y que el que el sistema &quot;queme&quot; esa orden y salga del listado de &quot;Ordenes para envío&quot; _x000a_"/>
    <x v="15"/>
    <s v="lbenavidez_co"/>
    <x v="1"/>
    <x v="3"/>
    <x v="1"/>
  </r>
  <r>
    <m/>
    <m/>
    <x v="10"/>
    <m/>
    <m/>
    <m/>
    <m/>
    <x v="16"/>
    <s v="apuentes_co"/>
    <x v="1"/>
    <x v="1"/>
    <x v="1"/>
  </r>
  <r>
    <m/>
    <m/>
    <x v="10"/>
    <m/>
    <m/>
    <m/>
    <m/>
    <x v="17"/>
    <s v="lbenavidez_co"/>
    <x v="1"/>
    <x v="1"/>
    <x v="1"/>
  </r>
  <r>
    <m/>
    <m/>
    <x v="10"/>
    <m/>
    <m/>
    <m/>
    <m/>
    <x v="18"/>
    <s v="srishti_prfwr"/>
    <x v="2"/>
    <x v="3"/>
    <x v="3"/>
  </r>
  <r>
    <n v="78"/>
    <s v="HOLD_SFS"/>
    <x v="78"/>
    <s v="OMS FF - SFS - HOLD  - Validación de Orden con Quiebre"/>
    <m/>
    <s v="Se debe validar a través del picking el quiebre de las líneas en el total de la orden, después de haber realizado el 2do salto (tienda 3)_x000a_Para ello se deben pickear todas las líneas y marcar todas aquellas que no tengan stock"/>
    <s v="Validar:_x000a_1.- que al seleccionar una orden, esta se abra y se visualice el detalle_x000a_2.- que al comenzar el picking se vayan &quot;quemando&quot; los productos ya pickeados por ambos métodos (código manual y scanner)_x000a_3.- que la orden se &quot;queme&quot; de la lista de &quot;Ordenes para recogida&quot;_x000a_4.- que la orden pase a la sección de &quot;ordenes para embalaje&quot; a pesar de contar con líneas quebradas"/>
    <x v="0"/>
    <s v=""/>
    <x v="0"/>
    <x v="0"/>
    <x v="0"/>
  </r>
  <r>
    <n v="79"/>
    <s v="HOLD_SFS"/>
    <x v="79"/>
    <s v="OMS FF - SFS - HOLD  - Cancelación de Líneas Quebradas "/>
    <m/>
    <s v="Al finalizar una orden con líneas quebradas, el sistema OMS cancelará estás líneas para continuar con el proceso de packing y entrega"/>
    <s v="Se espera que el sistema efectivamente cancele todas las líneas que se encuentran quebradas dentro de la orden, y permita además continuar con esta &quot;SubOrden&quot; con el proceso normal de comunicación y entrega al cliente"/>
    <x v="0"/>
    <s v=""/>
    <x v="0"/>
    <x v="0"/>
    <x v="0"/>
  </r>
  <r>
    <n v="80"/>
    <s v="HOLD_SFS"/>
    <x v="80"/>
    <s v="OMS FF - SFS - HOLD _ Alerta a Call Center"/>
    <m/>
    <s v="Cuando se termina de hacer picking en una orden con ordenes quebradas, se levantara una alerta al call center con el detalle de la orden, incluyendo los productos con y sin stock. "/>
    <s v="Se espera que el sistema levante una alerta al Call Center con todo el detalle de las líneas de la orden"/>
    <x v="0"/>
    <s v=""/>
    <x v="0"/>
    <x v="0"/>
    <x v="0"/>
  </r>
  <r>
    <n v="81"/>
    <s v="HOLD_SFS"/>
    <x v="81"/>
    <s v="OMS FF - SFS - HOLD  - Llamado al 3PL"/>
    <m/>
    <s v="Validar la creación del &quot;Servicio de Despacho&quot; de forma automática en los servicios de MU a través del OMS con los datos de la nueva tienda de Origen, una vez finalizado el Picking con todos los datos de entrega entregados por el cliente"/>
    <s v="1.- Validar que la orden generada automáticamente por el OMS, se establezca en los sistemas de MU y que los datos en la solicitud de servicio venga con los datos de la nueva tienda de Origen_x000a_2.- Validar el detalle de la orden, no debe contener todos los productos que fueron cancelados por el sistema"/>
    <x v="0"/>
    <s v=""/>
    <x v="0"/>
    <x v="0"/>
    <x v="0"/>
  </r>
  <r>
    <n v="82"/>
    <s v="HOLD_SFS"/>
    <x v="82"/>
    <s v="OMS FF - SFS - HOLD  - Packing - 3ra Tienda - Validación Etiquetas Impresas - Packing Finalizado"/>
    <m/>
    <s v="Validar el inicio y finalización de ordenes en la sección &quot;Ordenes  para embalaje&quot;  o Packing , además de la impresión de la etiqueta de verificación de pedido/cliente"/>
    <s v="1.- Validar finalización que el proceso de packing  y al presionar &quot;finalizar Packing&quot; que el dispositivo envíe una orden y se imprima la etiqueta con los datos correctos en ella. _x000a_-_x0009_Nro Orden_x000a_-_x0009_Rut Cliente Compra_x000a_-_x0009_Rut Cliente Retira_x000a_-_x0009_Método de Fulfillment (Despacho a Domicilio)_x000a_-_x0009_Fecha de Compra / Hora_x000a_-_x0009_Nro Local (nuevo Local Asignado)_x000a_3.- Se espera que la orden se &quot;queme&quot; de este listado y sea agregada a la lista de &quot;Ordenes para envío&quot;"/>
    <x v="0"/>
    <s v=""/>
    <x v="0"/>
    <x v="0"/>
    <x v="0"/>
  </r>
  <r>
    <n v="83"/>
    <s v="HOLD_SFS"/>
    <x v="83"/>
    <s v="OMS FF - SFS - HOLD  - Packing - 3ra Tienda - Validación Etiquetas Impresas - Packing Finalizado"/>
    <m/>
    <s v="Validar que Orden con Packing finalizado sea quemada desde listado "/>
    <s v="1.- Validar que la orden con Packing Finalizado y Etiqueta impresa se &quot;queme&quot; de este listado y sea agregada a la lista de &quot;Ordenes para envío&quot;"/>
    <x v="0"/>
    <s v=""/>
    <x v="0"/>
    <x v="0"/>
    <x v="0"/>
  </r>
  <r>
    <n v="84"/>
    <s v="HOLD_SFS"/>
    <x v="84"/>
    <s v="OMS FF - SFS - HOLD  - 3ra Tienda -Validación de &quot;Orden en Envío&quot;"/>
    <m/>
    <s v="Validar que una vez finalizado el Packing la orden viaje correctamente a la cola de &quot;Ordenes de Envío&quot;"/>
    <s v="1.- Validar que las ordenes con packing finalizado viajan correctamente a la cola para ser entregadas. _x000a_ "/>
    <x v="0"/>
    <s v=""/>
    <x v="0"/>
    <x v="0"/>
    <x v="0"/>
  </r>
  <r>
    <n v="85"/>
    <s v="HOLD_SFS"/>
    <x v="85"/>
    <s v="OMS FF - SFS - HOLD  - 3ra Tienda - Validación entrega a 3PL"/>
    <m/>
    <s v="Validar la entrega al motorizado asignado por MU, para enviar la orden al cliente"/>
    <s v="1.- Validar correcto escaneo o ingreso de código del packing para hacer el match con la orden a entregar y que el que el sistema &quot;queme&quot; esa orden y salga del listado de &quot;Ordenes para envío&quot; _x000a_"/>
    <x v="0"/>
    <s v=""/>
    <x v="0"/>
    <x v="0"/>
    <x v="0"/>
  </r>
  <r>
    <n v="86"/>
    <s v="3PL - HOLD_SFS"/>
    <x v="86"/>
    <s v="OMS - 3PL - Pickup  - Creación"/>
    <m/>
    <s v="Validar la creación de la tarea de Pickup en la plataforma de Mensajeros urbanos "/>
    <s v="Validar la creación de la tarea de delivery comprobando que se guardaron correctamente los campos enviados en la creación de la tarea de pickup."/>
    <x v="0"/>
    <s v=""/>
    <x v="0"/>
    <x v="0"/>
    <x v="0"/>
  </r>
  <r>
    <n v="87"/>
    <s v="3PL - HOLD_SFS"/>
    <x v="87"/>
    <s v="OMS FF - SFS -Venta sin Traspaso - 3PL - Validación Solicitud de Despacho"/>
    <m/>
    <s v="Validar el detalle de la solicitud de servicio de despacho en los sistemas de MU"/>
    <s v="1.- Visualización del detalle de la orden_x000a_2.- Datos correctos de Solicitud de Servicio _x000a_- Origen_x000a_- Destino_x000a_- SLA de entrega_x000a_- Número de orden "/>
    <x v="0"/>
    <s v=""/>
    <x v="0"/>
    <x v="0"/>
    <x v="0"/>
  </r>
  <r>
    <n v="88"/>
    <s v="3PL - HOLD_SFS"/>
    <x v="88"/>
    <s v="OMS - Valor venta menor  a $150.000"/>
    <m/>
    <s v="Validar que  cuando el valor de la venta sea menor a $150.000 en efectivo  el 3PL sea el encargado de pagarle a la tienda antes de que sea entregado el pedido."/>
    <s v="Validar la creación de la tarea de delivery comprobando que se guardaron correctamente los campos enviados en la creación de la tarea de delivery."/>
    <x v="0"/>
    <s v=""/>
    <x v="0"/>
    <x v="0"/>
    <x v="0"/>
  </r>
  <r>
    <n v="89"/>
    <s v="3PL - HOLD_SFS"/>
    <x v="89"/>
    <s v="OMS - Valor venta mayor  a $150.000"/>
    <m/>
    <s v="Validar  que  cuando el valor de la venta sea mayor a $150.000 en efectivo  el 3PL entregue el pedido, reciba el dinero y regrese a la tienda para cancelar el excendete"/>
    <s v="El 3PL paga a la tienda antes de hacer la entrega al cliente.   Se genera el servicio de mensajeria por ida"/>
    <x v="0"/>
    <s v=""/>
    <x v="0"/>
    <x v="0"/>
    <x v="0"/>
  </r>
  <r>
    <n v="90"/>
    <s v="SFS_NightOperaction"/>
    <x v="90"/>
    <s v="OMS FF - SFS_NO - Sin Traspaso  - Validacion de Orden Puesta en Local "/>
    <m/>
    <s v="Validar que la orden simple con productos es puesta en local"/>
    <s v="El 3PL vuelve a la tienda para entregar el dinero. Se genera el servicio de mensajeria por ida y vuelta "/>
    <x v="0"/>
    <s v=""/>
    <x v="0"/>
    <x v="0"/>
    <x v="0"/>
  </r>
  <r>
    <n v="91"/>
    <s v="SFS_NightOperaction"/>
    <x v="91"/>
    <s v="OMS FF - SFS_NO - Venta sin Traspaso - Picking"/>
    <m/>
    <s v="Se revisará que al ingresar a plataforma, se visualicen las ordenes en espera de picking y permita iniciar el picking de una nueva orden"/>
    <s v=" Validar que se puede ingresar a la sección de ordenes de recogida y validar que se puede abrir y visualizar el detalle de la orden con su receta previamente validada."/>
    <x v="0"/>
    <s v=""/>
    <x v="0"/>
    <x v="0"/>
    <x v="0"/>
  </r>
  <r>
    <n v="92"/>
    <s v="3PL - SFS_NightOperaction"/>
    <x v="92"/>
    <s v="OMS FF - SFS_NO -Venta sin Traspaso - 3PL - Validacion Servicio 3PL"/>
    <m/>
    <s v="Validar la creación del &quot;Servicio de Despacho&quot; de forma automática en los servicios de Mensajeros urbanos  a través del OMS con los datos de la nueva tienda de Origen, una vez finalizado el Picking con todos los datos de entrega entregados por el cliente"/>
    <s v="1.- Validar que la Orden se queme de la lista &quot;Ordenes para recogida&quot; y pase ala sección &quot;Ordenes para Embalaje&quot; "/>
    <x v="0"/>
    <s v=""/>
    <x v="0"/>
    <x v="0"/>
    <x v="0"/>
  </r>
  <r>
    <n v="93"/>
    <s v="3PL - SFS_NightOperaction"/>
    <x v="93"/>
    <s v="OMS - 3PL - Delivery - Creación"/>
    <m/>
    <s v="Validar la creación de la tarea de Pickup en la plataforma de Mensajeros urbanos "/>
    <s v="1.- Validar que la orden generada automáticamente por el OMS, se establezca en los sistemas de Mensajeros urbanos  y que los datos en la solicitud de servicio venga con los datos de la nueva tienda de Origen"/>
    <x v="0"/>
    <s v=""/>
    <x v="0"/>
    <x v="0"/>
    <x v="0"/>
  </r>
  <r>
    <n v="94"/>
    <s v="SFS_NightOperaction"/>
    <x v="94"/>
    <s v="OMS FF - SFS_NO -Venta sin Traspaso - Packing - Visualizacion"/>
    <m/>
    <s v="Validar la visualización de todas las ordenes de despacho listas para ser embaladas "/>
    <s v="Validar la creación de la tarea de delivery comprobando que se guardaron correctamente los campos enviados en la creación de la tarea de delivery."/>
    <x v="0"/>
    <s v=""/>
    <x v="0"/>
    <x v="0"/>
    <x v="0"/>
  </r>
  <r>
    <n v="95"/>
    <s v="SFS_NightOperaction"/>
    <x v="95"/>
    <s v="OMS FF - SFS_NO -Venta sin Traspaso - Packing - Validacion Etiquetas Impresas - Packing Finalizado"/>
    <m/>
    <s v="Validar el inicio y finalización de ordenes en la sección &quot;Ordenes  para embalaje&quot;  o Packing , además de la impresión de la etiqueta de verificación de pedido/cliente"/>
    <s v="1.- Validar listado de &quot;Ordenes para embalaje&quot; y visualizar el listado de ordenes esperando la acción"/>
    <x v="0"/>
    <s v=""/>
    <x v="0"/>
    <x v="0"/>
    <x v="0"/>
  </r>
  <r>
    <n v="96"/>
    <s v="SFS_NightOperaction"/>
    <x v="96"/>
    <s v="OMS FF - SFS_NO -Venta sin Traspaso - Packing - Validacion Etiquetas Impresas - Queme de Orden"/>
    <m/>
    <s v="Validar el inicio y finalización de ordenes en la sección &quot;Ordenes  para embalaje&quot;  o Packing , además de la impresión de la etiqueta de verificación de pedido/cliente"/>
    <s v="1.- Validar finalización de proceso de packing y que al presionar &quot;finalizar Packing&quot; el dispositivo envíe una orden y se imprima la etiqueta con los datos correctos en ella. _x000a_-_x0009_Nro Orden_x000a_-_x0009_Número de identificación Cliente Compra_x000a_-_x0009_Número de identificación Cliente Retira_x000a_-_x0009_Método de Fulfillment (Despacho a Domicilio)_x000a_-_x0009_Fecha de Compra / Hora_x000a_-_x0009_Nro Local "/>
    <x v="0"/>
    <s v=""/>
    <x v="0"/>
    <x v="0"/>
    <x v="0"/>
  </r>
  <r>
    <n v="97"/>
    <s v="SFS_NightOperaction"/>
    <x v="97"/>
    <s v="OMS FF - SFS_NO -Venta sin Traspaso - Validacion de &quot;Orden en Envio&quot;"/>
    <m/>
    <s v="Validar que una vez finalizado el Packing la orden viaje correctamente a la cola de &quot;Ordenes de Envío"/>
    <s v="Packing de la Orden debe estar finalizada satisfactoriamente mas su etiqueta  impresa"/>
    <x v="0"/>
    <s v=""/>
    <x v="0"/>
    <x v="0"/>
    <x v="0"/>
  </r>
  <r>
    <n v="98"/>
    <s v="3PL - SFS_NightOperaction"/>
    <x v="98"/>
    <s v="OMS FF - SFS_NO -Venta sin Traspaso - 3PL - Validacion Solicitud de Despacho"/>
    <m/>
    <s v="Validar el detalle de la solicitud de servicio de despacho en los sistemas de Mensajeros urbanos al  momento de la creacion de la orden.  "/>
    <s v="Las ordenes enlistadas deben haber finalizado el packing y estar con su etiqueta impresa en el paquete de envío"/>
    <x v="0"/>
    <s v=""/>
    <x v="0"/>
    <x v="0"/>
    <x v="0"/>
  </r>
  <r>
    <n v="99"/>
    <s v="3PL - SFS_NightOperaction"/>
    <x v="99"/>
    <s v="OMS FF - SFS_NO -Venta sin Traspaso - Validar entrega a 3PL (Pick up)"/>
    <m/>
    <s v="Entrega de la orden lista al motorizado asignado por MU, para enviar la orden al cliente"/>
    <s v="1.- Visualización del detalle de la orden_x000a_2.- Datos correctos de Solicitud de Servicio _x000a_- Origen_x000a_- Destino_x000a_- SLA de entrega_x000a_- Número de orden "/>
    <x v="0"/>
    <s v=""/>
    <x v="0"/>
    <x v="0"/>
    <x v="0"/>
  </r>
  <r>
    <n v="100"/>
    <s v="3PL - SFS_NightOperaction"/>
    <x v="100"/>
    <s v="OMS 3PL - Valor venta menor  a $150.000"/>
    <m/>
    <s v="Validar que  cuando el valor de la venta sea menor a $150.000 en efectivo  el 3PL sea el encargado de pagarle a la tienda antes de que sea entregado el pedido."/>
    <s v="Se debe haber generado, aceptado y asignado la orden de despacho en los sistemas de MU"/>
    <x v="0"/>
    <s v=""/>
    <x v="0"/>
    <x v="0"/>
    <x v="0"/>
  </r>
  <r>
    <n v="101"/>
    <s v="3PL - SFS_NightOperaction"/>
    <x v="101"/>
    <s v="OMS 3PL - Valor venta mayor  a $150.000"/>
    <m/>
    <s v="Validar  que  cuando el valor de la venta sea mayor a $150.000 en efectivo  el 3PL entregue el pedido, reciba el dinero y regrese a la tienda para cancelar el excendete"/>
    <s v="El 3PL paga a la tienda antes de hacer la entrega al cliente.   Se genera el servicio de mensajeria por ida"/>
    <x v="0"/>
    <s v=""/>
    <x v="0"/>
    <x v="0"/>
    <x v="0"/>
  </r>
  <r>
    <n v="102"/>
    <s v="SE_Casuísticas"/>
    <x v="102"/>
    <s v="OMS FF - SEC - Sobre Picking"/>
    <m/>
    <s v="El Store engagement debe levantar una alerta al realizar el picking por sobre las unidades señaladas en la orden_x000a_"/>
    <s v="Validar:_x000a_1.- Que al momento de realizar nuevamente el picking de una línea de producto (que ya fue completado), el sistema arroje una alerta indicando que esa línea de de la orden se encuentra completa"/>
    <x v="0"/>
    <s v=""/>
    <x v="0"/>
    <x v="0"/>
    <x v="0"/>
  </r>
  <r>
    <n v="103"/>
    <s v="SE_Casuísticas"/>
    <x v="103"/>
    <s v="OMS FF - SEC - Error de Picking"/>
    <m/>
    <s v="Vendedor realiza picking de un producto que no se encuentra en la orden "/>
    <s v="Validar:_x000a_1.- Que al momento de realizar el picking de un producto que no se encuentra en la orden, el sistema arroje un mensaje indicando que no corresponde al producto indicado"/>
    <x v="0"/>
    <s v=""/>
    <x v="0"/>
    <x v="0"/>
    <x v="0"/>
  </r>
  <r>
    <n v="104"/>
    <s v="SE_Casuísticas"/>
    <x v="104"/>
    <s v="OMS FF - SEC - PDA OFF Picking"/>
    <m/>
    <s v="El equipo se apaga durante el picking y una vez encendido nuevamente se espera poder continuar con la orden desde donde se apagó el dispositivo"/>
    <s v="Validar_x000a_1.- Que al volver a inciar el dispositivo, se encuentre la orden que estaba siendo pickeada en el mismo grado de avance en el que estaba cuando el equipo se apagó"/>
    <x v="0"/>
    <s v=""/>
    <x v="0"/>
    <x v="0"/>
    <x v="0"/>
  </r>
  <r>
    <n v="105"/>
    <s v="SE_Casuísticas"/>
    <x v="105"/>
    <s v="OMS FF - SEC - PDA OFF Delivery 3PL"/>
    <m/>
    <s v="El equipo se apaga durante una entrega al 3PL, una vez encendido se espera poder continuar con el proceso de entrega al motorizado"/>
    <s v="Validar_x000a_1.- Que al volver a inciar el dispositivo, se encuentre la orden que estaba siendo entregada al motorizado en el mismo grado de avance en el que estaba cuando el equipo se apagó"/>
    <x v="0"/>
    <s v=""/>
    <x v="0"/>
    <x v="0"/>
    <x v="0"/>
  </r>
  <r>
    <n v="106"/>
    <s v="SE_Casuísticas"/>
    <x v="106"/>
    <s v="OMS FF - SEC - PDA OFF Retiro en Tienda"/>
    <m/>
    <s v="El equipo se apaga durante una entrega a Cliente, una vez encendida se espera poder continuar con el proceso de validación de orden/rut del cliente"/>
    <s v="Validar_x000a_1.- Que al volver a inciar el dispositivo, se encuentre la orden que estaba siendo entrega al cliente en el mismo grado de avance en el que estaba cuando el equipo se apagó"/>
    <x v="0"/>
    <s v=""/>
    <x v="0"/>
    <x v="0"/>
    <x v="0"/>
  </r>
  <r>
    <n v="107"/>
    <s v="SE_Casuísticas"/>
    <x v="107"/>
    <s v="OMS FF - SEC - PDA OFF Traspaso "/>
    <m/>
    <s v="El equipo se apaga durante la recepción de un traspaso, una vez encendido se espera poder continuar con el proceso de ingreso de orden"/>
    <s v="Validar_x000a_1.- Que al volver a inciar el dispositivo, se encuentre la orden que estaba siendo entrega al cliente en el mismo grado de avance en el que estaba cuando el equipo se apagó"/>
    <x v="0"/>
    <s v=""/>
    <x v="0"/>
    <x v="0"/>
    <x v="0"/>
  </r>
  <r>
    <n v="108"/>
    <s v="SE_Casuísticas"/>
    <x v="108"/>
    <s v="OMS FF - SEC - APP OFF Picking"/>
    <m/>
    <s v="La App se apaga durante el picking y una vez iniciada nuevamente la aplicación se espera poder continuar con la orden desde donde se apagó el dispositivo"/>
    <s v="Validar_x000a_1.- Que al volver a inciar la app, se encuentre la orden que estaba siendo pickeada en el mismo grado de avance "/>
    <x v="0"/>
    <s v=""/>
    <x v="0"/>
    <x v="0"/>
    <x v="0"/>
  </r>
  <r>
    <n v="109"/>
    <s v="SE_Casuísticas"/>
    <x v="109"/>
    <s v="OMS FF - SEC - APP OFF Delivery 3PL"/>
    <m/>
    <s v="La App se apaga durante una entrega al 3PL, una vez iniciada nuevamente la aplicación se espera poder continuar con el proceso de entrega al motorizado"/>
    <s v="Validar_x000a_1.- Que al volver a inciar la app, se encuentre la orden que estaba siendo entregada al motorizado en el mismo grado de avance "/>
    <x v="0"/>
    <s v=""/>
    <x v="0"/>
    <x v="0"/>
    <x v="0"/>
  </r>
  <r>
    <n v="110"/>
    <s v="SE_Casuísticas"/>
    <x v="110"/>
    <s v="OMS FF - SEC - APP OFF Retiro en Tienda"/>
    <m/>
    <s v="La App se apaga durante una entrega a Cliente, una vez iniciada nuevamente la aplicación se espera poder continuar con el proceso de validación de orden/rut del cliente"/>
    <s v="Validar_x000a_1.- Que al volver a inciar la app, se encuentre la orden que estaba siendo entrega al cliente en el mismo grado de avance "/>
    <x v="0"/>
    <s v=""/>
    <x v="0"/>
    <x v="0"/>
    <x v="0"/>
  </r>
  <r>
    <n v="111"/>
    <s v="SE_Casuísticas"/>
    <x v="111"/>
    <s v="OMS FF - SEC - APP OFF Traspaso "/>
    <m/>
    <s v="La app se apaga durante la recepción de un traspaso, una vez iniciada nuevamente la aplicación se espera poder continuar con el proceso de ingreso de orden"/>
    <s v="Validar_x000a_1.- Que al volver a inciar la app, se encuentre la orden que estaba siendo entrega al cliente en el mismo grado de avance "/>
    <x v="0"/>
    <s v=""/>
    <x v="0"/>
    <x v="0"/>
    <x v="0"/>
  </r>
  <r>
    <n v="112"/>
    <s v="SE_Casuísticas"/>
    <x v="112"/>
    <s v="OMS Fulfilmment - SEC - Error en Escaner para Entrega"/>
    <m/>
    <s v="El sistema debe arrojar un error al momento de escanear el código de la etiqueta  incorrecto de un pedido listo para entrega_x000a_"/>
    <s v="Validar_x000a_1.- Que una vez ingresado el código de orden o el Número de indetificación del cliente, el sistema arroje un error indicando que el paquete no corresponde al del cliente_x000a__x000a_"/>
    <x v="0"/>
    <s v=""/>
    <x v="0"/>
    <x v="0"/>
    <x v="0"/>
  </r>
  <r>
    <n v="113"/>
    <s v="SE_Casuísticas"/>
    <x v="113"/>
    <s v="OMS FF - SEC - Picking Incompleto"/>
    <m/>
    <s v="El sistema debe evitar que se pueda finalizar el proceso de picking en el dispositivo, si este no se ha completado (y sin generar solicitudes de traspaso)"/>
    <s v="Validar,_x000a_1.- Que al momento de hacer click en Finalizar Picking sin haber completado todas las líneas y sus cantidades, el sistema impida cerrar la orden (ya sea inhabilitando el botón o haciendo aparecer un mensaje indicando que el picking aún no ha sido completado"/>
    <x v="0"/>
    <s v=""/>
    <x v="0"/>
    <x v="0"/>
    <x v="0"/>
  </r>
  <r>
    <n v="114"/>
    <s v="SE_Casuísticas"/>
    <x v="114"/>
    <s v="OMS FF - SEC - Ingreso Manual Mayor"/>
    <m/>
    <s v="El sistema debe evitar o arrojar una alerta cuando un vendedor durante el picking ingresa manualmente una cantidad mayor de productos que la indicada en la orden"/>
    <s v="Validar,_x000a_1.- Que al momento de ingresar manualmente una cantidad superior a la indicada de una línea específica, el sistema arroje una alerte o evite que se puedan agregar más unidades de las que se indican"/>
    <x v="0"/>
    <s v=""/>
    <x v="0"/>
    <x v="0"/>
    <x v="0"/>
  </r>
  <r>
    <n v="115"/>
    <s v="SE_Casuísticas"/>
    <x v="115"/>
    <s v="OMS FF - SEC - Retomar Proceso desde Otro Dispositivo"/>
    <m/>
    <s v="En el caso que durante un proceso de picking, packing, entrega o traspaso el dispositivo se apague y no vuelva a encender, el sistema permita continuar esta actividad desde el otro dispositivo del local"/>
    <s v="Validar_x000a_1.- Se espera que al iniciar en un segundo dispositivo, se puedan retomar los procesos que no fueron finalizados en el dispositivo con daños."/>
    <x v="0"/>
    <s v=""/>
    <x v="0"/>
    <x v="0"/>
    <x v="0"/>
  </r>
  <r>
    <n v="116"/>
    <s v="SE_Casuísticas"/>
    <x v="116"/>
    <s v="OMS FF - SEC - Error de Pickup - Cliente"/>
    <m/>
    <s v="El sistema debe arrojar un mensaje en el momento que el vendedor ingresa un código de orden para retiro que no se encuentra o no corresponde a ese local de retiro "/>
    <s v="Validar,_x000a_1.- Se espera que el sistema reconozca que el código ingresado pertenece a una orden que no fue pickeada ni empacada en ese local y emita un mensaje al vendedor indicando dicho problema"/>
    <x v="0"/>
    <s v=""/>
    <x v="0"/>
    <x v="0"/>
    <x v="0"/>
  </r>
  <r>
    <n v="117"/>
    <s v="SE_Casuísticas"/>
    <x v="117"/>
    <s v="OMS FF - SEC - Error de código para Pickup - Cliente"/>
    <m/>
    <s v="El sistema debe arrojar un mensaje de error en el momento que se ingresa un código o un rut que no tiene asociada ninguna orden para retiro"/>
    <s v="Validar,_x000a_1.- Se espera que el sistema reconozca que el código ingresado no pertenece a ninguna orden de ningún local de la cadena y emita un mensaje indicando que el código o el Número de indetificación no tiene asociada ninguna venta"/>
    <x v="0"/>
    <s v=""/>
    <x v="0"/>
    <x v="0"/>
    <x v="0"/>
  </r>
  <r>
    <n v="118"/>
    <s v="SE_Casuísticas"/>
    <x v="118"/>
    <s v="OMS FF - SEC - Error de código para Pickup - 3PL"/>
    <m/>
    <s v="El sistema debe arrojar un mensaje de error en el momento que se ingresa un código o un rut que no tiene asociada ninguna orden para entrega a 3PL"/>
    <s v="Validar,_x000a_1.- Se espera que el sistema reconozca que el código ingresado no pertenece a ninguna orden de ningún local de la cadena y emita un mensaje indicando que el código o el Número de indetificación no tiene asociada ninguna venta"/>
    <x v="0"/>
    <s v=""/>
    <x v="0"/>
    <x v="0"/>
    <x v="0"/>
  </r>
  <r>
    <n v="119"/>
    <s v="SE_Casuísticas"/>
    <x v="119"/>
    <s v="OMS FF - SEC - Error de código para Pickup - 3PL Traspaso"/>
    <m/>
    <s v="El sistema debe arrojar un mensaje de error en el momento que se ingresa un código o un rut que no tiene asociada ninguna orden para entrega a 3PL"/>
    <s v="Validar,_x000a_1.- Se espera que el sistema reconozca que el código ingresado no pertenece a ninguna orden de ningún local de la cadena y emita un mensaje indicando que el código o el Número de indetificación no tiene asociada ninguna venta"/>
    <x v="0"/>
    <s v=""/>
    <x v="0"/>
    <x v="0"/>
    <x v="0"/>
  </r>
  <r>
    <n v="120"/>
    <s v="CnC - Receta Simple -  Cargada al eComm"/>
    <x v="120"/>
    <s v="CnC -Validación de Orden Puesta en Local -  Con Receta Simple -  Cargada al eComm"/>
    <m/>
    <s v="Validar que la orden con productos con receta simple es puesta en local"/>
    <s v="1.- Validar que se puede ingresar a la sección de ordenes de recogida y validar que se puede abrir y visualizar el detalle de la orden con su receta previamente validada."/>
    <x v="0"/>
    <s v=""/>
    <x v="0"/>
    <x v="0"/>
    <x v="0"/>
  </r>
  <r>
    <n v="121"/>
    <s v="CnC -Receta Simple - Sin Cargar en eComm"/>
    <x v="121"/>
    <s v="OMS FF - CnC -Validación de Orden Puesta en Local -  Con Receta Simple - Sin Cargar en eComm"/>
    <m/>
    <s v="Validar que la orden con productos con receta simple es puesta en local"/>
    <s v="1.- Validar que se puede ingresar a la sección de ordenes de recogida y validar que se puede abrir y visualizar el detalle de la orden"/>
    <x v="0"/>
    <s v=""/>
    <x v="0"/>
    <x v="0"/>
    <x v="0"/>
  </r>
  <r>
    <n v="122"/>
    <s v="CnC_Venta sin Traspaso"/>
    <x v="122"/>
    <s v="OMS - CC - Sin traspaso-validacion de orden puesta en local sin receta"/>
    <m/>
    <s v="Validar que la orden simple con productos es puesta en local"/>
    <s v="Validar que se puede ingresar a la sección de ordenes de recogida y validar que se puede abrir y visualizar el detalle de la orden  previamente validada."/>
    <x v="0"/>
    <s v=""/>
    <x v="0"/>
    <x v="0"/>
    <x v="0"/>
  </r>
  <r>
    <n v="123"/>
    <s v="CnC_Venta sin Traspaso"/>
    <x v="123"/>
    <s v="OMS  CnC - Venta sin Traspaso - Picking"/>
    <m/>
    <s v="Validar que visualicen las ordenes en espera de picking"/>
    <s v="El sistema visualisara la lista de ordenes en espera para el picking  mostrando el detalle de la orden "/>
    <x v="0"/>
    <s v=""/>
    <x v="0"/>
    <x v="0"/>
    <x v="0"/>
  </r>
  <r>
    <n v="124"/>
    <s v="CnC_Venta sin Traspaso"/>
    <x v="124"/>
    <s v="OMS  CnC - Venta sin Traspaso - Picking"/>
    <m/>
    <s v="Inicar el picking  ingresando linea en el codigo del producto manualmente "/>
    <s v="El sistema quemara los producto picados por el metodo del codigo del producto manualmente  y esta quedara en recogida del cliente "/>
    <x v="0"/>
    <s v=""/>
    <x v="0"/>
    <x v="0"/>
    <x v="0"/>
  </r>
  <r>
    <n v="125"/>
    <s v="CnC_Venta sin Traspaso"/>
    <x v="125"/>
    <s v="OMS  CnC - Venta sin Traspaso - Picking"/>
    <m/>
    <s v="Inicar el picking  ingresando linea en el codigo del producto por scanner"/>
    <s v="El sistema quemara los producto picados por el metodo del scaner y esta quedara en recogida del cliente "/>
    <x v="0"/>
    <s v=""/>
    <x v="0"/>
    <x v="0"/>
    <x v="0"/>
  </r>
  <r>
    <n v="126"/>
    <s v="CnC_Venta sin Traspaso"/>
    <x v="126"/>
    <s v="OMS  CnC - Venta sin Traspaso -Finalizar  Picking"/>
    <m/>
    <s v="Validar que al seleccionar Finalizar picking este termine correctamente "/>
    <s v="El sistema fizalizara el picking correctamente "/>
    <x v="0"/>
    <s v=""/>
    <x v="0"/>
    <x v="0"/>
    <x v="0"/>
  </r>
  <r>
    <n v="127"/>
    <s v="CnC_Venta sin Traspaso"/>
    <x v="127"/>
    <s v="OMS  CnC - Venta sin Traspaso -Finalizar  Picking"/>
    <m/>
    <s v="Validar que las ordenes finalizadas esten  en la opcion recogida del cliente "/>
    <s v="El sistema visualizara las ordenes en  recogida del cliente  imprimiendo automaticamenta la etiqueta "/>
    <x v="0"/>
    <s v=""/>
    <x v="0"/>
    <x v="0"/>
    <x v="0"/>
  </r>
  <r>
    <n v="128"/>
    <s v="CnC_Venta sin Traspaso"/>
    <x v="128"/>
    <s v="OMS - CnC -Venta sin Traspaso - Validar entrega a Cliente"/>
    <m/>
    <s v="Validar escaneo o ingreso manual de código del packing para hacer el match con la orden a entregar y que el sistema &quot;queme&quot; esa orden y salga del listado de &quot;Recogida del Cliente&quot; "/>
    <s v="El sistema quemara esas ordenes scaneando el listado de  recogida del cliente  finalizando la entrega "/>
    <x v="0"/>
    <s v=""/>
    <x v="0"/>
    <x v="0"/>
    <x v="0"/>
  </r>
  <r>
    <n v="129"/>
    <s v="3PL - CnC_Trapasos"/>
    <x v="129"/>
    <s v="OMS   CnC -Venta con Traspaso - Big Store - Validación Servicio 3PL"/>
    <m/>
    <s v="Validar que la orden generada automáticamente por el OMS se establezca en los sistemas de Mensajero Urbanos  y que los datos en la solicitud de servicio venga con los datos de la tienda de Origen y Destino"/>
    <s v="El sistema validara la orden generada automaticamente por el OMS  exitosamente "/>
    <x v="0"/>
    <s v=""/>
    <x v="0"/>
    <x v="0"/>
    <x v="0"/>
  </r>
  <r>
    <n v="130"/>
    <s v="3PL - CnC_Trapasos"/>
    <x v="130"/>
    <s v="OMS - 3PL - Pickup  - Creación"/>
    <m/>
    <s v="Validar la creación de la tarea de Pickup en la plataforma de Mensajeros urbanos "/>
    <s v="1.- Visualización del detalle de la orden_x000a_2.- Datos correctos de Solicitud de Servicio _x000a_- Origen_x000a_- Destino_x000a_- SLA de entrega_x000a_- Número de orden "/>
    <x v="0"/>
    <s v=""/>
    <x v="0"/>
    <x v="0"/>
    <x v="0"/>
  </r>
  <r>
    <n v="131"/>
    <s v="3PL - CnC_Trapasos"/>
    <x v="131"/>
    <s v="OMS FF - SFS -Venta sin Traspaso - 3PL - Validación Solicitud de Despacho"/>
    <m/>
    <s v="Validar el detalle de la solicitud de servicio de despacho en los sistemas de MU"/>
    <s v="Al momento de realizar esta prueba deben coordinar con rodrigo@Mensajeros urbanos app.com para tomar la evidencia desde nuestras plataformas internas"/>
    <x v="0"/>
    <s v=""/>
    <x v="0"/>
    <x v="0"/>
    <x v="0"/>
  </r>
  <r>
    <n v="132"/>
    <s v="3PL - CnC_Trapasos"/>
    <x v="132"/>
    <s v="OMS - 3PL - Consulta -orden"/>
    <m/>
    <s v="Validar la consulta de detalle de tareas a través de un número de orden"/>
    <s v="El sistema validara la orden generada automaticamente por el oms  exitosamente "/>
    <x v="0"/>
    <s v=""/>
    <x v="0"/>
    <x v="0"/>
    <x v="0"/>
  </r>
  <r>
    <n v="133"/>
    <s v="CnC_Trapasos"/>
    <x v="133"/>
    <s v="OMS  - CnC -Venta con Traspaso - Packing-Big Store - Validación Etiquetas Impresas"/>
    <m/>
    <s v="Validar que al finalizar el proceso de packing y al presionar &quot;finalizar Packing&quot; que el dispositivo envíe una orden y se imprima la etiqueta con los datos correctos  y esta pase a Ordenes para envío"/>
    <s v="El sistema finalizara el proceso de picking correctamente imprimiendo la etiqueta con los siguientes datos:                                                                                                                                                                                                                                                                                   -_x0009_Nro Orden_x000a_-_x0009_Rut Cliente Compra_x000a_-_x0009_Rut Cliente Retira_x000a_-_x0009_Método de Fulfillment (Despacho a Domicilio)_x000a_-_x0009_Fecha de Compra / Hora_x000a_-_x0009_Nro Local                                             "/>
    <x v="0"/>
    <s v=""/>
    <x v="0"/>
    <x v="0"/>
    <x v="0"/>
  </r>
  <r>
    <n v="134"/>
    <s v="CnC_Trapasos"/>
    <x v="134"/>
    <s v="OMS - CnC -Venta con Traspaso - Big Store -Validación de &quot;Orden en Envío&quot;"/>
    <m/>
    <s v=" Validar que las ordenes con packing finalizado viajan correctamente a la cola &quot; ordene de envio&quot; para ser entregadas y  visualizar el detalle de la orden al seleccionarla "/>
    <s v="El sistema visualizara las ordenes con el pakin finalizado en la opcion orden de envio visualizando el detalle de cada una "/>
    <x v="0"/>
    <s v=""/>
    <x v="0"/>
    <x v="0"/>
    <x v="0"/>
  </r>
  <r>
    <n v="135"/>
    <s v="3PL - CnC_Trapasos"/>
    <x v="135"/>
    <s v="OMS  - CnC - Venta con Traspaso - Big Store -Validación entrega a 3PL"/>
    <m/>
    <s v="Validar la entrega al motorizado asignado por Mensajeros Urbanos , para enviar la orden al cliente"/>
    <s v="El sistema validara la entrega del motorizado correctamente   quemando las ordenes y dejandolas en ordenes para envio "/>
    <x v="0"/>
    <s v=""/>
    <x v="0"/>
    <x v="0"/>
    <x v="0"/>
  </r>
  <r>
    <n v="136"/>
    <s v="CnC_Trapasos"/>
    <x v="136"/>
    <s v="OMS  - CnC - Venta con Traspaso - Store - Recepción de Traspaso"/>
    <m/>
    <s v="Validar la recepcion de traspaso ingresando por la opcion &quot;recibir envios&quot;  ingresando el código de la orden de traspaso  ya sea manual o por scaner "/>
    <s v="El sistema encontrara  la orden pendiente a través de la lectura del código de la etiqueta  enviando la orden len a pestaña &quot;Recibido  cerrando la recepcion  de orden  de trapaso_x000a_"/>
    <x v="0"/>
    <s v=""/>
    <x v="0"/>
    <x v="0"/>
    <x v="0"/>
  </r>
  <r>
    <n v="137"/>
    <s v="CnC_Trapasos"/>
    <x v="137"/>
    <s v="OMS  - CnC - Venta con Traspaso - Store - Re-Picking "/>
    <m/>
    <s v="validar que al  recibir un traspaso, se  retome el picking de la orden &quot;Iniciada y sin completar&quot; para comprobar la recepción de todas las líneas faltantes"/>
    <s v="El sistema Validara _x000a_1.- que al seleccionar una orden, esta se abra y se visualice el detalle y pueda ser reconocida como traspaso_x000a_2.- que al comenzar el picking se vayan &quot;quemando&quot; los productos ya pickeados por ambos métodos (código manual y scanner)_x000a_3.-que la orden se &quot;queme&quot; de la lista de &quot;Ordenes para recogida&quot;_x000a_4.- que la orden pase a la sección de &quot;Ordenes para Embalaje&quot; "/>
    <x v="0"/>
    <s v=""/>
    <x v="0"/>
    <x v="0"/>
    <x v="0"/>
  </r>
  <r>
    <n v="138"/>
    <s v="CnC_Trapasos"/>
    <x v="138"/>
    <s v="OMS - CnC -Venta con Traspaso - Finalizar Picking - Imprimir etiqueta"/>
    <m/>
    <s v="Validar que la orden se &quot;queme&quot; de la lista de &quot;Ordenes para recogida&quot; y que pase a la sección de &quot;Recogida de Cliente&quot; "/>
    <s v="El sistema  finalizara las  ordenes en la sección &quot;Ordenes de Recogida&quot;  (End Picking+Packing), e imprimira  la etiqueta de verificación de pedido/cliente"/>
    <x v="0"/>
    <s v=""/>
    <x v="0"/>
    <x v="0"/>
    <x v="0"/>
  </r>
  <r>
    <n v="139"/>
    <s v="CnC_Trapasos"/>
    <x v="139"/>
    <s v="OMS  - CnC - Correo de Confirmación"/>
    <m/>
    <s v="Validar  que al finalizar el picking el sistema comunique al cliente que su pedido está listo para ser retirado, con el detalle de la orden "/>
    <s v="El Sistema finalizara  el Picking, generando automáticamente el correo de &quot;Orden Lista para Retiro&quot; al cliente final "/>
    <x v="0"/>
    <s v=""/>
    <x v="0"/>
    <x v="0"/>
    <x v="0"/>
  </r>
  <r>
    <n v="140"/>
    <s v="CnC_Trapasos"/>
    <x v="140"/>
    <s v="OMS - CnC -Venta con Traspaso - Validar entrega a Cliente (Pick up) - Sin Validación de Receta"/>
    <m/>
    <s v="Validar se pueda escanear o ingresar el código del packing para hacer el match con la orden a entregar y que el sistema &quot;queme&quot; esa orden y salga del listado de &quot;Recogida del Cliente&quot; "/>
    <s v="El sistema realizara el packing correctamente."/>
    <x v="0"/>
    <s v=""/>
    <x v="0"/>
    <x v="0"/>
    <x v="0"/>
  </r>
  <r>
    <n v="141"/>
    <s v="HOLD_CnC"/>
    <x v="141"/>
    <s v="OMS - CnC -HOLD -  Validación de Orden con Quiebre"/>
    <m/>
    <s v="validar a través del picking el quiebre de las líneas en el total de la orden, después de haber realizado el 1er salto (Big Store)_x000a_Para ello se deben pickear todas las líneas y marcar todas aquellas que no tengan stock"/>
    <s v="El sistema validara  que al seleccionar una orden, esta se abra y se visualice el detalle_x000a_2.- que al comenzar el picking se vayan &quot;quemando&quot; los productos ya pickeados por ambos métodos (código manual y scanner)_x000a_3.- que la orden se &quot;queme&quot; de la lista de &quot;Ordenes para recogida&quot;_x000a_4.- que la orden pase a la sección de &quot;ordenes para retiro&quot; a pesar de contar con líneas quebradas"/>
    <x v="0"/>
    <s v=""/>
    <x v="0"/>
    <x v="0"/>
    <x v="0"/>
  </r>
  <r>
    <n v="142"/>
    <s v="HOLD_CnC"/>
    <x v="142"/>
    <s v="OMS -  CnC -HOLD -  Cancelación de Líneas Quebradas "/>
    <m/>
    <s v="Al finalizar una orden con líneas quebradas, el sistema OMS cancelará estás líneas para continuar con el proceso de packing y entrega"/>
    <s v="El sistema   efectivamente cancelara  todas las líneas que se encuentran quebradas dentro de la orden, y permita además continuar con esta &quot;SubOrden&quot; con el proceso normal de comunicación y entrega al cliente"/>
    <x v="0"/>
    <s v=""/>
    <x v="0"/>
    <x v="0"/>
    <x v="0"/>
  </r>
  <r>
    <n v="143"/>
    <s v="HOLD_CnC"/>
    <x v="143"/>
    <s v="OMS - FF - CnC -HOLD - Alerta a Call Center"/>
    <m/>
    <s v=" Cuando se termina de hacer picking en una orden con ordenes quebradas, se levantara una alerta al call center con el detalle de la orden, incluyendo los productos con y sin stock. "/>
    <s v=" El sistema levantara  una alerta al Call Center con todo el detalle de las líneas de la orden"/>
    <x v="0"/>
    <s v=""/>
    <x v="0"/>
    <x v="0"/>
    <x v="0"/>
  </r>
  <r>
    <n v="144"/>
    <s v="3PL  - HOLD_CnC"/>
    <x v="144"/>
    <s v="OMS - FF - CnC -HOLD - Venta con Traspaso - Big Store - Validación entrega a 3PL"/>
    <m/>
    <s v="Validar la entrega al motorizado asignado por mensajeros urbanos , para enviar la orden al cliente"/>
    <s v="El sistema Validara escaneo o ingreso de el código del packing para hacer el match con la orden a entregar y que el sistema &quot;queme&quot; esa orden y salga del listado de &quot;Ordenes para envío&quot; "/>
    <x v="0"/>
    <s v=""/>
    <x v="0"/>
    <x v="0"/>
    <x v="0"/>
  </r>
  <r>
    <n v="145"/>
    <s v="HOLD_CnC"/>
    <x v="145"/>
    <s v="OMS -  CnC -HOLD - Venta con Traspaso - Store - Recepción de Traspaso"/>
    <m/>
    <s v="Validar:_x000a_1.- se pueda encontrar la orden pendiente a través de la lectura del código de la etiqueta_x000a_2.- recepcionar la orden y enviarla a la pestaña &quot;Recibido&quot; _x000a_3.- se pueda cerrar la recepción de la orden de traspaso"/>
    <s v="El sistema  encontrara la orden para recepcionarla y cerrarla "/>
    <x v="0"/>
    <s v=""/>
    <x v="0"/>
    <x v="0"/>
    <x v="0"/>
  </r>
  <r>
    <n v="146"/>
    <s v="HOLD_CnC"/>
    <x v="146"/>
    <s v="OMS - FF - CnC -HOLD - Venta con Traspaso - Store - Re-Picking "/>
    <m/>
    <s v="Validar_x000a_1.- que al seleccionar una orden, esta se abra y se visualice el detalle y pueda ser reconocida como traspaso_x000a_2.- que al comenzar el picking se vayan &quot;quemando&quot; los productos ya pickeados por ambos métodos (código manual y scanner)_x000a_3.-que la orden se &quot;queme&quot; de la lista de &quot;Ordenes para recogida&quot;_x000a_4.- que la orden pase a la sección de &quot;Ordenes para Embalaje&quot; "/>
    <s v="El sistema   debe haber recepcionado satisfactoriamente la orden de traspaso que completa la orden original "/>
    <x v="0"/>
    <s v=""/>
    <x v="0"/>
    <x v="0"/>
    <x v="0"/>
  </r>
  <r>
    <n v="147"/>
    <s v="HOLD_CnC"/>
    <x v="147"/>
    <s v="OMS - FF - CnC -HOLD - Venta con Traspaso - Finalizar Picking - Imprimir etiqueta"/>
    <m/>
    <s v=" Validar que la orden se &quot;queme&quot; de la lista de &quot;Ordenes para recogida&quot; y que pase a la sección de &quot;Recogida de Cliente&quot; "/>
    <s v="La orden debe haber completado la etapa de picking satisfactoriamente y haber sido traspasada a la cola de &quot;Recogida de Cliente&quot;"/>
    <x v="0"/>
    <s v=""/>
    <x v="0"/>
    <x v="0"/>
    <x v="0"/>
  </r>
  <r>
    <n v="148"/>
    <s v="HOLD_CnC"/>
    <x v="148"/>
    <s v="OMS - FF - CnC -HOLD - Correo de Confirmación"/>
    <m/>
    <s v=" Validar  que al finalizar el picking el sistema comunique al cliente que su pedido está listo para ser retirado, con el detalle de la orden "/>
    <s v="El sistema   debe generar automáticamente el correo de &quot;Orden Lista para Retiro&quot; al cliente final "/>
    <x v="0"/>
    <s v=""/>
    <x v="0"/>
    <x v="0"/>
    <x v="0"/>
  </r>
  <r>
    <n v="149"/>
    <s v="HOLD_CnC"/>
    <x v="149"/>
    <s v="OMS - FF - CnC -HOLD -Venta con Traspaso - Validar entrega a Cliente (Pick up) - Sin Validación de Receta"/>
    <m/>
    <s v="Validar se pueda escanear o ingresar el código del packing para hacer el match con la orden a entregar y que el sistema &quot;queme&quot; esa orden y salga del listado de &quot;Recogida del Cliente&quot; "/>
    <s v="El sistema  visualizara la orden lista para entrega en la pestaña de &quot;Recogida del Cliente&quot;"/>
    <x v="0"/>
    <s v=""/>
    <x v="0"/>
    <x v="0"/>
    <x v="0"/>
  </r>
  <r>
    <n v="150"/>
    <s v="Call Center Cancelación"/>
    <x v="150"/>
    <s v="OMS - CCC - SHP Order - Cancelación1"/>
    <m/>
    <s v="Solicitud del cliente al usuario del centro de llamadas para cancelar el pedido"/>
    <s v="1. OMS cancelará el envío y la orden de venta._x000a_2. OMS enviará la solicitud de cancelación a Factura_x000a_3. Se enviará un correo electrónico de cancelación al cliente. (El pedido tiene un envío que se encuentra en el estado debajo de &quot;Listo para el packing&quot;)"/>
    <x v="0"/>
    <s v=""/>
    <x v="0"/>
    <x v="0"/>
    <x v="0"/>
  </r>
  <r>
    <n v="151"/>
    <s v="Call Center Cancelación"/>
    <x v="151"/>
    <s v="OMS - CCC - SHP Order - Cancelación2"/>
    <m/>
    <s v="Solicitud del cliente al usuario del centro de llamadas para cancelar el pedido"/>
    <s v="1. OMS cancelará el envío y la orden de venta._x000a_2. OMS enviará la solicitud de cancelación a Factura_x000a_3. OMS enviará una solicitud a Mensajeros Urbanos para la cancelación del trabajo de recolección y entrega_x000a_4. Se enviará un correo electrónico de cancelación al cliente. (El pedido tiene un envío que tiene un estado mayor que &quot;Listo para el packing&quot; y menor que Enviado)"/>
    <x v="19"/>
    <e v="#N/A"/>
    <x v="3"/>
    <x v="4"/>
    <x v="4"/>
  </r>
  <r>
    <n v="152"/>
    <s v="Call Center Cancelación"/>
    <x v="152"/>
    <s v="OMS - CCC - SHP Order - Cancelación3"/>
    <m/>
    <s v="Solicitud del cliente al usuario del centro de llamadas para cancelar el pedido"/>
    <s v="1. La cancelación del pedido se desactivará desde la aplicación del centro de llamadas. (El pedido tiene un envío que está en estado igual o mayor que &quot;Enviado&quot;)"/>
    <x v="19"/>
    <e v="#N/A"/>
    <x v="3"/>
    <x v="4"/>
    <x v="4"/>
  </r>
  <r>
    <n v="153"/>
    <s v="Call Center Cancelación"/>
    <x v="153"/>
    <s v="OMS - CCC - SHP Order - Cancelación4"/>
    <m/>
    <s v="Solicitud del cliente al usuario del centro de llamadas para cancelar el pedido"/>
    <s v="1. OMS cancelará el envío y la orden de venta._x000a_2. OMS enviará la solicitud de cancelación a Factura_x000a_3. Se enviará un correo electrónico de cancelación al cliente (El pedido aún no tiene ningún envío creado.)"/>
    <x v="20"/>
    <s v="lpabon_co"/>
    <x v="1"/>
    <x v="2"/>
    <x v="3"/>
  </r>
  <r>
    <n v="154"/>
    <s v="Call Center Cancelación"/>
    <x v="154"/>
    <s v="OMS - CCC - Pick Order - Cancelación1"/>
    <m/>
    <s v="Solicitud del cliente al usuario del centro de llamadas para cancelar el pedido"/>
    <s v="1. OMS cancelará el envío y la orden de venta._x000a_2. OMS enviará la solicitud de cancelación a Factura_x000a_3. Se enviará un correo electrónico de cancelación al cliente (El pedido tiene un envío que se encuentra en el estado debajo de &quot;Cliente seleccionado&quot;)"/>
    <x v="0"/>
    <s v=""/>
    <x v="0"/>
    <x v="0"/>
    <x v="0"/>
  </r>
  <r>
    <n v="155"/>
    <s v="Call Center Cancelación"/>
    <x v="155"/>
    <s v="OMS - CCC - Pick Order - Cancelación2"/>
    <m/>
    <s v="Solicitud del cliente al usuario del centro de llamadas para cancelar el pedido"/>
    <s v="1. La cancelación del pedido se desactivará desde la aplicación del centro de llamadas (El pedido tiene un envío que está en estado igual a &quot;Cliente seleccionado&quot;)"/>
    <x v="0"/>
    <s v=""/>
    <x v="0"/>
    <x v="0"/>
    <x v="0"/>
  </r>
  <r>
    <n v="156"/>
    <s v="Call Center Cancelación"/>
    <x v="156"/>
    <s v="OMS - CCC - Pick Order - Cancelación3"/>
    <m/>
    <s v="Solicitud del cliente al usuario del centro de llamadas para cancelar el pedido"/>
    <s v="1. OMS cancelará el pedido de ventas._x000a_2. OMS enviará la solicitud de cancelación a Factura_x000a_3. Se enviará un correo electrónico de cancelación al cliente (El pedido aún no tiene ningún envío creado.)"/>
    <x v="0"/>
    <s v=""/>
    <x v="0"/>
    <x v="0"/>
    <x v="0"/>
  </r>
  <r>
    <n v="157"/>
    <s v="Call Center Cancelación"/>
    <x v="157"/>
    <s v="OMS - CCC - Pick Order - Cancelación4"/>
    <m/>
    <s v="Solicitud del cliente al usuario del centro de llamadas para cancelar el pedido"/>
    <s v="1. OMS cancelará el envío y la orden de venta._x000a_2. OMS enviará la solicitud de cancelación a Factura_x000a_3. Se enviará un correo electrónico de cancelación al cliente_x000a_4. La orden de transferencia no se cancelará. Al recibir la orden de transferencia en la tienda receptora, el inventario se actualizará en OMS (El pedido aún no tiene ningún envío creado.)"/>
    <x v="0"/>
    <s v=""/>
    <x v="0"/>
    <x v="0"/>
    <x v="0"/>
  </r>
  <r>
    <n v="158"/>
    <s v="Call Center Cancelación"/>
    <x v="158"/>
    <s v="OMS - CCC - Mix Order - Cancelación1"/>
    <m/>
    <s v="Solicitud del cliente al usuario del centro de llamadas para cancelar el pedido"/>
    <s v="1. OMS cancelará el pedido de ventas._x000a_2. OMS enviará la solicitud de cancelación a Factura_x000a_3. Se enviará un correo electrónico de cancelación al cliente"/>
    <x v="0"/>
    <s v=""/>
    <x v="0"/>
    <x v="0"/>
    <x v="0"/>
  </r>
  <r>
    <n v="159"/>
    <s v="Call Center Cancelación"/>
    <x v="159"/>
    <s v="OMS - CCC - Mix Order - Cancelación2"/>
    <m/>
    <s v="Solicitud del cliente al usuario del centro de llamadas para cancelar el pedido"/>
    <s v="1. OMS cancelará el envío PICK y el pedido de ventas._x000a_2. OMS enviará la solicitud de cancelación a Factura_x000a_3. Se enviará un correo electrónico de cancelación al cliente"/>
    <x v="0"/>
    <s v=""/>
    <x v="0"/>
    <x v="0"/>
    <x v="0"/>
  </r>
  <r>
    <n v="160"/>
    <s v="Call Center Cancelación"/>
    <x v="160"/>
    <s v="OMS - CCC - Mix Order - Cancelación3"/>
    <m/>
    <s v="Solicitud del cliente al usuario del centro de llamadas para cancelar el pedido"/>
    <s v="1. OMS cancelará las líneas SHP del pedido de cliente_x000a_2. OMS enviará la solicitud de cancelación a Factura para las líneas canceladas"/>
    <x v="0"/>
    <s v=""/>
    <x v="0"/>
    <x v="0"/>
    <x v="0"/>
  </r>
  <r>
    <n v="161"/>
    <s v="Call Center Cancelación"/>
    <x v="161"/>
    <s v="OMS - CCC - Mix Order - Cancelación4"/>
    <m/>
    <s v="Solicitud del cliente al usuario del centro de llamadas para cancelar el pedido"/>
    <s v="1. OMS cancelará el envío de SHP y la orden de venta._x000a_2. OMS enviará la solicitud de cancelación a Factura_x000a_3. Se enviará un correo electrónico de cancelación al cliente"/>
    <x v="0"/>
    <s v=""/>
    <x v="0"/>
    <x v="0"/>
    <x v="0"/>
  </r>
  <r>
    <n v="162"/>
    <s v="Call Center Cancelación"/>
    <x v="162"/>
    <s v="OMS - CCC - Mix Order - Cancelación5"/>
    <m/>
    <s v="Solicitud del cliente al usuario del centro de llamadas para cancelar el pedido"/>
    <s v="1. OMS cancelará el envío de SHP y la orden de venta._x000a_2. OMS enviará la solicitud de cancelación a Factura_x000a_3. OMS enviará una solicitud a Mensajeros Urbanos para la cancelación del trabajo de recolección y entrega para el envío de SHP_x000a_4. Se enviará un correo electrónico de cancelación al cliente"/>
    <x v="0"/>
    <s v=""/>
    <x v="0"/>
    <x v="0"/>
    <x v="0"/>
  </r>
  <r>
    <n v="163"/>
    <s v="Call Center Cancelación"/>
    <x v="163"/>
    <s v="OMS - CCC - Mix Order - Cancelación6"/>
    <m/>
    <s v="Solicitud del cliente al usuario del centro de llamadas para cancelar el pedido"/>
    <s v="1. OMS cancelará el envío PICK, el envío SHP y el pedido de ventas._x000a_2. OMS enviará la solicitud de cancelación a Factura._x000a_3. Se enviará un correo electrónico de cancelación al cliente"/>
    <x v="0"/>
    <s v=""/>
    <x v="0"/>
    <x v="0"/>
    <x v="0"/>
  </r>
  <r>
    <n v="164"/>
    <s v="Call Center Cancelación"/>
    <x v="164"/>
    <s v="OMS - CCC - Mix Order - Cancelación7"/>
    <m/>
    <s v="Solicitud del cliente al usuario del centro de llamadas para cancelar el pedido"/>
    <s v="1. OMS cancelará el envío PICK, el envío SHP y el pedido de ventas._x000a_2. OMS enviará la solicitud de cancelación a Factura._x000a_3. OMS enviará una solicitud a Mensajeros Urbanos para la cancelación del trabajo de recolección y entrega para el envío de SHP_x000a_4. Se enviará un correo electrónico de cancelación al cliente"/>
    <x v="0"/>
    <s v=""/>
    <x v="0"/>
    <x v="0"/>
    <x v="0"/>
  </r>
  <r>
    <n v="165"/>
    <s v="Call Center Cancelación"/>
    <x v="165"/>
    <s v="OMS - CCC - Mix Order - Cancelación8"/>
    <m/>
    <s v="Solicitud del cliente al usuario del centro de llamadas para cancelar el pedido"/>
    <s v="1. OMS cancelará el envío de PICK y las líneas de pedido de ventas de PICK_x000a_2. OMS enviará la solicitud de cancelación a Factura para las líneas PICK._x000a_3. Sin correo electrónico al cliente para cancelación parcial"/>
    <x v="0"/>
    <s v=""/>
    <x v="0"/>
    <x v="0"/>
    <x v="0"/>
  </r>
  <r>
    <n v="166"/>
    <s v="Call Center Cancelación"/>
    <x v="166"/>
    <s v="OMS - CCC - Mix Order - Cancelación9"/>
    <m/>
    <s v="Solicitud del cliente al usuario del centro de llamadas para cancelar el pedido"/>
    <s v="1. OMS cancelará el envío de PICK y las líneas de pedido de ventas de PICK._x000a_2. OMS enviará la solicitud de cancelación a Factura para las líneas PICK._x000a_3. Sin correo electrónico al cliente para cancelación parcial"/>
    <x v="0"/>
    <s v=""/>
    <x v="0"/>
    <x v="0"/>
    <x v="0"/>
  </r>
  <r>
    <n v="167"/>
    <s v="Call Center Cancelación"/>
    <x v="167"/>
    <s v="OMS - CCC - Mix Order - Cancelación10"/>
    <m/>
    <s v="Solicitud del cliente al usuario del centro de llamadas para cancelar el pedido"/>
    <s v="1. OMS cancelará el envío de SHP y las líneas de pedido de ventas de SHP._x000a_2. OMS enviará la solicitud de cancelación a Factura para las líneas SHP._x000a_3. OMS enviará una solicitud a Mensajeros Urbanos para la cancelación del trabajo de recolección y entrega para el envío de SHP_x000a_4. Sin correo electrónico al cliente para cancelación parcial"/>
    <x v="0"/>
    <s v=""/>
    <x v="0"/>
    <x v="0"/>
    <x v="0"/>
  </r>
  <r>
    <n v="168"/>
    <s v="Call Center Cancelación"/>
    <x v="168"/>
    <s v="OMS - CCC - Mix Order - Cancelación11"/>
    <m/>
    <s v="Solicitud del cliente al usuario del centro de llamadas para cancelar el pedido"/>
    <s v="1. OMS cancelará el envío PICK y las líneas de pedido PICK._x000a_2. OMS enviará la solicitud de cancelación a Factura para las líneas SHP._x000a_3. Sin correo electrónico al cliente para cancelación parcial"/>
    <x v="0"/>
    <s v=""/>
    <x v="0"/>
    <x v="0"/>
    <x v="0"/>
  </r>
  <r>
    <n v="169"/>
    <s v="Call Center Cancelación"/>
    <x v="169"/>
    <s v="OMS - CCC - Mix Order - Cancelación12"/>
    <m/>
    <s v="Solicitud del cliente al usuario del centro de llamadas para cancelar el pedido"/>
    <s v="1. La cancelación del pedido se desactivará desde la aplicación del centro de llamadas"/>
    <x v="0"/>
    <s v=""/>
    <x v="0"/>
    <x v="0"/>
    <x v="0"/>
  </r>
  <r>
    <n v="170"/>
    <s v="Call Center Post Venta"/>
    <x v="170"/>
    <s v="OMS - CCP - Consultas de estado"/>
    <m/>
    <s v="Ejecutivo debe ingresar a una orden y revisar el estado de ella para informar a cliente"/>
    <s v="1.- Verificar que aparezca el estado del pedido: Orden confirmada, Procesando pedido, Pedido en camino, Pedido entregado_x000a_ "/>
    <x v="0"/>
    <s v=""/>
    <x v="0"/>
    <x v="0"/>
    <x v="0"/>
  </r>
  <r>
    <n v="171"/>
    <s v="Call Center Post Venta"/>
    <x v="171"/>
    <s v="OMS - CCP - Cancelaciones de pedido"/>
    <m/>
    <s v="Ejecutivo cancela pedido desde la aplicación CallCenter"/>
    <s v="1.-Verificar que el botón &quot;Cancelar Pedido&quot; solo aparezca para los estados &quot;Oden Confirmada&quot; y &quot;Procesando Pedido&quot; funcione _x000a_2.- Verificar que el botón cancelar pedido funcione _x000a_3.- Verificar que se envíe alerta al store engagement para que se cancele ahí también_x000a_4.- Verificar que se envíe alerta al proveedor logístico para que no vayan a buscar el pedido a la tienda_x000a_5.- Verificar que se envíe una alerta a Mercado pago para se realice la reversa"/>
    <x v="0"/>
    <s v=""/>
    <x v="0"/>
    <x v="0"/>
    <x v="0"/>
  </r>
  <r>
    <n v="172"/>
    <s v="Call Center Post Venta"/>
    <x v="172"/>
    <s v="OMS - CCP - Devolución Total Débito"/>
    <m/>
    <s v="Ejecutivo realiza la creación de orden de devolución Total Débito en la plataforma de CallCenter"/>
    <s v="1.-Verificar que el botón &quot;Devolución Total Débito&quot; solo aparezca para el estado &quot;Pedido entregadoa&quot; _x000a_2.- Verificar que el botón&quot;Devolución Total Débito&quot; funcione _x000a_3.- Verificar que se envíe alerta al store engagement para que este sepa que tiene que ingresar al vendible los productos que traerá el motorista de vuelta_x000a_4.- Verificar que se envíe alerta al proveedor logístico para que vaya a buscar pedido a casa de cliente_x000a_5.- Verificar que se envíe una alerta a Mercado pago para se realice la devolución"/>
    <x v="0"/>
    <s v=""/>
    <x v="0"/>
    <x v="0"/>
    <x v="0"/>
  </r>
  <r>
    <n v="173"/>
    <s v="Call Center Post Venta"/>
    <x v="173"/>
    <s v="OMS - CCP - Devolución Total Crédito"/>
    <m/>
    <s v="Ejecutivo realiza la creación de orden de devolución Total Crédito en la plataforma de CallCenter"/>
    <s v="1.-Verificar que el botón &quot;Devolución Total Crédito&quot; solo aparezca para el estado &quot;Pedido entregadoa&quot; _x000a_2.- Verificar que el botón&quot;Devolución Total Crédito&quot; funcione _x000a_3.- Verificar que se envíe alerta al store engagement para que este sepa que tiene que ingresar al vendible los productos que traerá el motorista de vuelta_x000a_4.- Verificar que se envíe alerta al proveedor logístico para que vaya a buscar pedido a casa de cliente_x000a_5.- Verificar que se envíe una alerta a Mercado pago para se realice la devolución"/>
    <x v="0"/>
    <s v=""/>
    <x v="0"/>
    <x v="0"/>
    <x v="0"/>
  </r>
  <r>
    <n v="174"/>
    <s v="Call Center Post Venta"/>
    <x v="174"/>
    <s v="OMS - CCP - Devolución Parcial Débito"/>
    <m/>
    <s v="Ejecutivo realiza la creación de orden de devolución Parcial Débito en la plataforma de CallCenter"/>
    <s v="1.-Verificar que el botón &quot;Devolución Parcial Débito&quot; solo aparezca para el estado &quot;Pedido entregadoa&quot; _x000a_2.- Verificar que el botón&quot;Devolución Pacial Débito&quot; funcione _x000a_3.- Verificar que se envíe alerta al store engagement para que este sepa que tiene que ingresar al vendible los productos que traerá el motorista de vuelta_x000a_4.- Verificar que se envíe alerta al proveedor logístico para que vaya a buscar pedido a casa de cliente_x000a_5.- Verificar que se envíe una alerta a Mercado pago para se realice la devolución"/>
    <x v="0"/>
    <s v=""/>
    <x v="0"/>
    <x v="0"/>
    <x v="0"/>
  </r>
  <r>
    <n v="175"/>
    <s v="Call Center Post Venta"/>
    <x v="175"/>
    <s v="OMS - CCP - Devolución Parcial Crédito"/>
    <m/>
    <s v="Ejecutivo realiza la creación de orden de devolución Parcial Crédito en la plataforma de CallCenter"/>
    <s v="1.-Verificar que el botón &quot;Devolución Parcial Crédito&quot; solo aparezca para el estado &quot;Pedido entregadoa&quot; _x000a_2.- Verificar que el botón&quot;Devolución Pacial Crédito&quot; funcione _x000a_3.- Verificar que se envíe alerta al store engagement para que este sepa que tiene que ingresar al vendible los productos que traerá el motorista de vuelta_x000a_4.- Verificar que se envíe alerta al proveedor logístico para que vaya a buscar pedido a casa de cliente_x000a_5.- Verificar que se envíe una alerta a Mercado pago para se realice la devolución"/>
    <x v="0"/>
    <s v=""/>
    <x v="0"/>
    <x v="0"/>
    <x v="0"/>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m/>
    <x v="4"/>
    <x v="5"/>
    <x v="5"/>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r>
    <m/>
    <m/>
    <x v="10"/>
    <m/>
    <m/>
    <m/>
    <m/>
    <x v="0"/>
    <s v=""/>
    <x v="0"/>
    <x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54">
  <r>
    <x v="0"/>
    <s v=""/>
    <x v="0"/>
    <s v=""/>
    <x v="0"/>
  </r>
  <r>
    <x v="0"/>
    <s v=""/>
    <x v="0"/>
    <s v=""/>
    <x v="0"/>
  </r>
  <r>
    <x v="0"/>
    <s v=""/>
    <x v="0"/>
    <s v=""/>
    <x v="0"/>
  </r>
  <r>
    <x v="0"/>
    <s v=""/>
    <x v="0"/>
    <s v=""/>
    <x v="0"/>
  </r>
  <r>
    <x v="0"/>
    <s v=""/>
    <x v="0"/>
    <s v=""/>
    <x v="0"/>
  </r>
  <r>
    <x v="0"/>
    <s v=""/>
    <x v="0"/>
    <s v=""/>
    <x v="0"/>
  </r>
  <r>
    <x v="1"/>
    <s v="erivera"/>
    <x v="1"/>
    <s v="mayor"/>
    <x v="1"/>
  </r>
  <r>
    <x v="0"/>
    <s v=""/>
    <x v="0"/>
    <s v=""/>
    <x v="0"/>
  </r>
  <r>
    <x v="0"/>
    <s v=""/>
    <x v="0"/>
    <s v=""/>
    <x v="0"/>
  </r>
  <r>
    <x v="2"/>
    <s v="erivera"/>
    <x v="1"/>
    <s v="mayor"/>
    <x v="2"/>
  </r>
  <r>
    <x v="3"/>
    <s v="erivera"/>
    <x v="1"/>
    <s v="mayor"/>
    <x v="1"/>
  </r>
  <r>
    <x v="0"/>
    <s v=""/>
    <x v="0"/>
    <s v=""/>
    <x v="0"/>
  </r>
  <r>
    <x v="4"/>
    <s v="lbenavidez_co"/>
    <x v="1"/>
    <s v="mayor"/>
    <x v="1"/>
  </r>
  <r>
    <x v="5"/>
    <s v="erivera"/>
    <x v="1"/>
    <s v="mayor"/>
    <x v="1"/>
  </r>
  <r>
    <x v="0"/>
    <s v=""/>
    <x v="0"/>
    <s v=""/>
    <x v="0"/>
  </r>
  <r>
    <x v="0"/>
    <s v=""/>
    <x v="0"/>
    <s v=""/>
    <x v="0"/>
  </r>
  <r>
    <x v="0"/>
    <s v=""/>
    <x v="0"/>
    <s v=""/>
    <x v="0"/>
  </r>
  <r>
    <x v="6"/>
    <s v="lpabon_co"/>
    <x v="1"/>
    <s v="menor"/>
    <x v="1"/>
  </r>
  <r>
    <x v="7"/>
    <s v="lbenavidez_co"/>
    <x v="1"/>
    <s v="mayor"/>
    <x v="1"/>
  </r>
  <r>
    <x v="8"/>
    <s v="lbenavidez_co"/>
    <x v="1"/>
    <s v="mayor"/>
    <x v="1"/>
  </r>
  <r>
    <x v="0"/>
    <s v=""/>
    <x v="0"/>
    <s v=""/>
    <x v="0"/>
  </r>
  <r>
    <x v="7"/>
    <s v="lbenavidez_co"/>
    <x v="1"/>
    <s v="mayor"/>
    <x v="1"/>
  </r>
  <r>
    <x v="8"/>
    <s v="lbenavidez_co"/>
    <x v="1"/>
    <s v="mayor"/>
    <x v="1"/>
  </r>
  <r>
    <x v="9"/>
    <s v="lpabon_co"/>
    <x v="1"/>
    <s v="fallo"/>
    <x v="1"/>
  </r>
  <r>
    <x v="7"/>
    <s v="lbenavidez_co"/>
    <x v="1"/>
    <s v="mayor"/>
    <x v="1"/>
  </r>
  <r>
    <x v="8"/>
    <s v="lbenavidez_co"/>
    <x v="1"/>
    <s v="mayor"/>
    <x v="1"/>
  </r>
  <r>
    <x v="7"/>
    <s v="lbenavidez_co"/>
    <x v="1"/>
    <s v="mayor"/>
    <x v="1"/>
  </r>
  <r>
    <x v="8"/>
    <s v="lbenavidez_co"/>
    <x v="1"/>
    <s v="mayor"/>
    <x v="1"/>
  </r>
  <r>
    <x v="7"/>
    <s v="lbenavidez_co"/>
    <x v="1"/>
    <s v="mayor"/>
    <x v="1"/>
  </r>
  <r>
    <x v="8"/>
    <s v="lbenavidez_co"/>
    <x v="1"/>
    <s v="mayor"/>
    <x v="1"/>
  </r>
  <r>
    <x v="10"/>
    <s v="lbenavidez_co"/>
    <x v="1"/>
    <s v="fallo"/>
    <x v="1"/>
  </r>
  <r>
    <x v="10"/>
    <s v="lbenavidez_co"/>
    <x v="1"/>
    <s v="fallo"/>
    <x v="1"/>
  </r>
  <r>
    <x v="10"/>
    <s v="lbenavidez_co"/>
    <x v="1"/>
    <s v="fallo"/>
    <x v="1"/>
  </r>
  <r>
    <x v="11"/>
    <s v="apuentes_co"/>
    <x v="1"/>
    <s v="mayor"/>
    <x v="1"/>
  </r>
  <r>
    <x v="10"/>
    <s v="lbenavidez_co"/>
    <x v="1"/>
    <s v="fallo"/>
    <x v="1"/>
  </r>
  <r>
    <x v="12"/>
    <s v="apuentes_co"/>
    <x v="1"/>
    <s v="mayor"/>
    <x v="1"/>
  </r>
  <r>
    <x v="0"/>
    <s v=""/>
    <x v="0"/>
    <s v=""/>
    <x v="0"/>
  </r>
  <r>
    <x v="0"/>
    <s v=""/>
    <x v="0"/>
    <s v=""/>
    <x v="0"/>
  </r>
  <r>
    <x v="0"/>
    <s v=""/>
    <x v="0"/>
    <s v=""/>
    <x v="0"/>
  </r>
  <r>
    <x v="0"/>
    <s v=""/>
    <x v="0"/>
    <s v=""/>
    <x v="0"/>
  </r>
  <r>
    <x v="0"/>
    <s v=""/>
    <x v="0"/>
    <s v=""/>
    <x v="0"/>
  </r>
  <r>
    <x v="13"/>
    <s v="erivera"/>
    <x v="1"/>
    <s v="mayor"/>
    <x v="1"/>
  </r>
  <r>
    <x v="14"/>
    <s v="lbenavidez_co"/>
    <x v="1"/>
    <s v="fallo"/>
    <x v="1"/>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0"/>
    <s v=""/>
    <x v="0"/>
    <s v=""/>
    <x v="0"/>
  </r>
  <r>
    <x v="0"/>
    <s v=""/>
    <x v="0"/>
    <s v=""/>
    <x v="0"/>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15"/>
    <s v="lbenavidez_co"/>
    <x v="1"/>
    <s v="fallo"/>
    <x v="1"/>
  </r>
  <r>
    <x v="16"/>
    <s v="apuentes_co"/>
    <x v="1"/>
    <s v="mayor"/>
    <x v="1"/>
  </r>
  <r>
    <x v="17"/>
    <s v="lbenavidez_co"/>
    <x v="1"/>
    <s v="mayor"/>
    <x v="1"/>
  </r>
  <r>
    <x v="18"/>
    <s v="srishti_prfwr"/>
    <x v="2"/>
    <s v="fallo"/>
    <x v="3"/>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19"/>
    <e v="#N/A"/>
    <x v="3"/>
    <e v="#N/A"/>
    <x v="4"/>
  </r>
  <r>
    <x v="19"/>
    <e v="#N/A"/>
    <x v="3"/>
    <e v="#N/A"/>
    <x v="4"/>
  </r>
  <r>
    <x v="20"/>
    <s v="lpabon_co"/>
    <x v="1"/>
    <s v="menor"/>
    <x v="3"/>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m/>
    <x v="4"/>
    <m/>
    <x v="5"/>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r>
    <x v="0"/>
    <s v=""/>
    <x v="0"/>
    <s v=""/>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
  <r>
    <s v="id.:34540"/>
    <x v="0"/>
    <s v="Afiliacion"/>
    <s v="1-FBA Adición de Agenda"/>
    <m/>
    <m/>
    <m/>
    <m/>
    <m/>
    <m/>
    <m/>
    <m/>
    <x v="0"/>
  </r>
  <r>
    <s v="id.:34603"/>
    <x v="0"/>
    <m/>
    <s v="2 - FBA - Edición  de Agenda"/>
    <m/>
    <m/>
    <m/>
    <m/>
    <m/>
    <m/>
    <m/>
    <m/>
    <x v="0"/>
  </r>
  <r>
    <s v="id.:34604"/>
    <x v="0"/>
    <m/>
    <s v="3 - FBA Eliminar Agenda"/>
    <m/>
    <m/>
    <m/>
    <n v="222"/>
    <m/>
    <m/>
    <m/>
    <m/>
    <x v="0"/>
  </r>
  <r>
    <s v="id.:34605"/>
    <x v="0"/>
    <m/>
    <s v="4- FBA - Selección reporte de forma en demanda "/>
    <m/>
    <m/>
    <m/>
    <m/>
    <m/>
    <m/>
    <m/>
    <m/>
    <x v="0"/>
  </r>
  <r>
    <s v="id.:34606"/>
    <x v="0"/>
    <m/>
    <s v="5 - FBA - Selección reporte de forma agendado"/>
    <m/>
    <m/>
    <m/>
    <m/>
    <m/>
    <m/>
    <m/>
    <m/>
    <x v="0"/>
  </r>
  <r>
    <s v="id.:34607"/>
    <x v="0"/>
    <m/>
    <s v="6 - FBA - Selección frecuencia de forma horaria"/>
    <m/>
    <m/>
    <m/>
    <m/>
    <m/>
    <m/>
    <m/>
    <m/>
    <x v="0"/>
  </r>
  <r>
    <s v="id.:34608"/>
    <x v="0"/>
    <m/>
    <s v="7 - FBA - Selección frecuencia de forma diaria"/>
    <m/>
    <m/>
    <m/>
    <m/>
    <m/>
    <m/>
    <m/>
    <m/>
    <x v="0"/>
  </r>
  <r>
    <s v="id.:34609"/>
    <x v="0"/>
    <m/>
    <s v="8 - FBA - Selección frecuencia de forma semanal"/>
    <m/>
    <m/>
    <m/>
    <m/>
    <m/>
    <m/>
    <m/>
    <m/>
    <x v="0"/>
  </r>
  <r>
    <s v="id.:34610"/>
    <x v="0"/>
    <m/>
    <s v="9 - FBA - Selección frecuencia de forma mensual"/>
    <m/>
    <m/>
    <m/>
    <m/>
    <m/>
    <m/>
    <m/>
    <m/>
    <x v="0"/>
  </r>
  <r>
    <s v="id.:34611"/>
    <x v="0"/>
    <m/>
    <s v="10 - FBA - Configuración campo reporte"/>
    <m/>
    <m/>
    <m/>
    <m/>
    <m/>
    <m/>
    <m/>
    <m/>
    <x v="0"/>
  </r>
  <r>
    <s v="id.:34612"/>
    <x v="0"/>
    <m/>
    <s v="11 - FBA - Presentación campos del formulario"/>
    <m/>
    <m/>
    <m/>
    <m/>
    <m/>
    <m/>
    <m/>
    <m/>
    <x v="0"/>
  </r>
  <r>
    <s v="id.:34613"/>
    <x v="1"/>
    <m/>
    <s v="12 - FBA - cargue y configurar campo &quot;Tipo de dispositivo&quot;"/>
    <m/>
    <m/>
    <m/>
    <m/>
    <m/>
    <m/>
    <m/>
    <m/>
    <x v="0"/>
  </r>
  <r>
    <s v="id.:34614"/>
    <x v="1"/>
    <m/>
    <s v="13 - FBA - exporte datos del medidor principal"/>
    <m/>
    <m/>
    <m/>
    <m/>
    <m/>
    <m/>
    <m/>
    <m/>
    <x v="0"/>
  </r>
  <r>
    <s v="id.:34615"/>
    <x v="1"/>
    <m/>
    <s v="14 - FBA - exporte datos del medidor respaldo"/>
    <m/>
    <m/>
    <m/>
    <m/>
    <m/>
    <m/>
    <m/>
    <m/>
    <x v="0"/>
  </r>
  <r>
    <s v="id.:34616"/>
    <x v="1"/>
    <m/>
    <s v="15 - FBA - exporte datos de ambos medidores"/>
    <m/>
    <m/>
    <m/>
    <m/>
    <m/>
    <m/>
    <m/>
    <m/>
    <x v="0"/>
  </r>
  <r>
    <s v="id.:34617"/>
    <x v="1"/>
    <m/>
    <s v="16 - FBA - no cargue del campo &quot;Rango de fechas”"/>
    <m/>
    <m/>
    <m/>
    <m/>
    <m/>
    <m/>
    <m/>
    <m/>
    <x v="0"/>
  </r>
  <r>
    <s v="id.:34618"/>
    <x v="1"/>
    <m/>
    <s v="17 - FBA - no configurar el campo &quot;Rango de fechas”"/>
    <m/>
    <m/>
    <m/>
    <m/>
    <m/>
    <m/>
    <m/>
    <m/>
    <x v="0"/>
  </r>
  <r>
    <s v="id.:34619"/>
    <x v="1"/>
    <m/>
    <s v="18 - FBA - inhabilitar el campo &quot;Nombre del formato a exportar&quot;"/>
    <m/>
    <m/>
    <m/>
    <m/>
    <m/>
    <m/>
    <m/>
    <m/>
    <x v="0"/>
  </r>
  <r>
    <s v="id.:34620"/>
    <x v="1"/>
    <m/>
    <s v="19 - FBA - inhabilitar el campo  &quot;Formato de exportación"/>
    <m/>
    <m/>
    <m/>
    <m/>
    <m/>
    <m/>
    <m/>
    <m/>
    <x v="0"/>
  </r>
  <r>
    <s v="id.:34621"/>
    <x v="1"/>
    <m/>
    <s v="20 - FBA - Almacenamiento opción Por defecto."/>
    <m/>
    <m/>
    <m/>
    <m/>
    <m/>
    <m/>
    <m/>
    <m/>
    <x v="0"/>
  </r>
  <r>
    <s v="id.:34622"/>
    <x v="1"/>
    <m/>
    <s v="21 - FBA - Almacenamiento opción correo electrónico."/>
    <m/>
    <m/>
    <m/>
    <m/>
    <m/>
    <m/>
    <m/>
    <m/>
    <x v="0"/>
  </r>
  <r>
    <s v="id.:34623"/>
    <x v="1"/>
    <m/>
    <s v="22- FBA - Almacenamiento opción Ruta en servidor."/>
    <m/>
    <m/>
    <m/>
    <m/>
    <m/>
    <m/>
    <m/>
    <m/>
    <x v="0"/>
  </r>
  <r>
    <s v="id.:34624"/>
    <x v="1"/>
    <m/>
    <s v="23 - FBA - Campos almacenamiento correo electrónico"/>
    <m/>
    <m/>
    <m/>
    <m/>
    <m/>
    <m/>
    <m/>
    <m/>
    <x v="0"/>
  </r>
  <r>
    <s v="id.:34625"/>
    <x v="1"/>
    <m/>
    <s v="24 - FBA - Campos almacenamiento Ruta en servidor."/>
    <m/>
    <m/>
    <m/>
    <m/>
    <m/>
    <m/>
    <m/>
    <m/>
    <x v="0"/>
  </r>
  <r>
    <s v="id.:34626"/>
    <x v="1"/>
    <m/>
    <s v="25 - FBA - Selección  “Socket ID”  que serán exportados."/>
    <m/>
    <m/>
    <m/>
    <m/>
    <m/>
    <m/>
    <m/>
    <m/>
    <x v="0"/>
  </r>
  <r>
    <s v="id.:34627"/>
    <x v="1"/>
    <m/>
    <s v="26 - FBA - Selección “Group ID “que serán exportados."/>
    <m/>
    <m/>
    <m/>
    <m/>
    <m/>
    <m/>
    <m/>
    <m/>
    <x v="0"/>
  </r>
  <r>
    <s v="id.:34628"/>
    <x v="1"/>
    <m/>
    <s v="27 - FBA - opción &quot;Puntos de medida&quot;"/>
    <m/>
    <m/>
    <m/>
    <m/>
    <m/>
    <m/>
    <m/>
    <m/>
    <x v="0"/>
  </r>
  <r>
    <s v="id.:34629"/>
    <x v="1"/>
    <m/>
    <s v="28 - FBA - Validación grilla"/>
    <m/>
    <m/>
    <m/>
    <m/>
    <m/>
    <m/>
    <m/>
    <m/>
    <x v="0"/>
  </r>
  <r>
    <s v="id.:34630"/>
    <x v="1"/>
    <m/>
    <s v="29 - FBA - lista los grupos de puntos de medida disponibles"/>
    <m/>
    <m/>
    <m/>
    <m/>
    <m/>
    <m/>
    <m/>
    <m/>
    <x v="0"/>
  </r>
  <r>
    <s v="id.:34631"/>
    <x v="1"/>
    <m/>
    <s v="30 - FBA - opción &quot;Almacenar&quot;"/>
    <m/>
    <m/>
    <m/>
    <m/>
    <m/>
    <m/>
    <m/>
    <m/>
    <x v="0"/>
  </r>
  <r>
    <s v="id.:34632"/>
    <x v="1"/>
    <m/>
    <s v="31 - FBA - Visualización grilla de la sección &quot;Programación de Exportación&quot;"/>
    <m/>
    <m/>
    <m/>
    <m/>
    <m/>
    <m/>
    <m/>
    <m/>
    <x v="0"/>
  </r>
  <r>
    <s v="id.:34633"/>
    <x v="1"/>
    <m/>
    <s v="32 - FBA - varios reportes"/>
    <m/>
    <m/>
    <m/>
    <m/>
    <m/>
    <m/>
    <m/>
    <m/>
    <x v="0"/>
  </r>
  <r>
    <s v="id.:34634"/>
    <x v="1"/>
    <m/>
    <s v="33 - FBA - multiples agendamientos"/>
    <m/>
    <s v=""/>
    <s v=""/>
    <s v=""/>
    <s v=""/>
    <m/>
    <m/>
    <m/>
    <x v="0"/>
  </r>
  <r>
    <s v="id.:34635"/>
    <x v="1"/>
    <m/>
    <s v="34 - FBA - edicion de una agenda"/>
    <m/>
    <s v=""/>
    <s v=""/>
    <s v=""/>
    <s v=""/>
    <m/>
    <m/>
    <m/>
    <x v="0"/>
  </r>
  <r>
    <s v="id.:34636"/>
    <x v="1"/>
    <m/>
    <s v="35 - FBA - selección de Agenda"/>
    <m/>
    <s v=""/>
    <s v=""/>
    <s v=""/>
    <s v=""/>
    <m/>
    <m/>
    <m/>
    <x v="0"/>
  </r>
  <r>
    <s v="id.:34637"/>
    <x v="1"/>
    <m/>
    <s v="36 - FBA - edicion campos de Agenda"/>
    <m/>
    <s v=""/>
    <s v=""/>
    <s v=""/>
    <s v=""/>
    <m/>
    <m/>
    <m/>
    <x v="0"/>
  </r>
  <r>
    <s v="id.:34638"/>
    <x v="1"/>
    <m/>
    <s v="37 - FBA - Eliminar de Agenda"/>
    <m/>
    <m/>
    <m/>
    <m/>
    <m/>
    <m/>
    <m/>
    <m/>
    <x v="0"/>
  </r>
  <r>
    <s v="id.:34639"/>
    <x v="1"/>
    <m/>
    <s v="38 - FBA - Cargue mensaje"/>
    <m/>
    <m/>
    <m/>
    <m/>
    <m/>
    <m/>
    <m/>
    <m/>
    <x v="0"/>
  </r>
  <r>
    <s v="id.:34640"/>
    <x v="1"/>
    <m/>
    <s v="39 - FBA - Aceptar mensaje"/>
    <m/>
    <m/>
    <m/>
    <m/>
    <m/>
    <m/>
    <m/>
    <m/>
    <x v="0"/>
  </r>
  <r>
    <s v="id.:34641"/>
    <x v="1"/>
    <m/>
    <s v="40 - FBA - No aceptar mensaje"/>
    <m/>
    <m/>
    <m/>
    <m/>
    <m/>
    <m/>
    <m/>
    <m/>
    <x v="0"/>
  </r>
  <r>
    <s v="id.:35440"/>
    <x v="2"/>
    <m/>
    <s v="01 - FBA- Generar Archivo CSV medidor principal."/>
    <m/>
    <m/>
    <m/>
    <m/>
    <m/>
    <m/>
    <m/>
    <m/>
    <x v="0"/>
  </r>
  <r>
    <s v="id.:35441"/>
    <x v="2"/>
    <m/>
    <s v="02 - FBA- Generar Archivo CSV medidor de respaldo."/>
    <m/>
    <m/>
    <m/>
    <m/>
    <m/>
    <m/>
    <m/>
    <m/>
    <x v="0"/>
  </r>
  <r>
    <s v="id.:35442"/>
    <x v="2"/>
    <m/>
    <s v="03 - FBA- Validacion de Campos."/>
    <m/>
    <m/>
    <m/>
    <m/>
    <m/>
    <m/>
    <m/>
    <m/>
    <x v="0"/>
  </r>
  <r>
    <s v="id.:35443"/>
    <x v="2"/>
    <m/>
    <s v="04 - FBA- Generar el reporte automaticamente."/>
    <m/>
    <m/>
    <m/>
    <m/>
    <m/>
    <m/>
    <m/>
    <m/>
    <x v="0"/>
  </r>
  <r>
    <s v="id.:35444"/>
    <x v="2"/>
    <m/>
    <s v="05 - FBA- Exportacion fecha y hora."/>
    <m/>
    <m/>
    <m/>
    <m/>
    <m/>
    <m/>
    <m/>
    <m/>
    <x v="0"/>
  </r>
  <r>
    <s v="id.:35445"/>
    <x v="2"/>
    <m/>
    <s v="06 - FBA- Exportacion Variables de memoria."/>
    <m/>
    <m/>
    <m/>
    <m/>
    <m/>
    <m/>
    <m/>
    <m/>
    <x v="0"/>
  </r>
  <r>
    <s v="id.:35446"/>
    <x v="2"/>
    <m/>
    <s v="07 - FBA- Soporte marcas y archivos configurados."/>
    <m/>
    <m/>
    <m/>
    <m/>
    <m/>
    <m/>
    <m/>
    <m/>
    <x v="0"/>
  </r>
  <r>
    <s v="id.:35447"/>
    <x v="2"/>
    <m/>
    <s v="08 - FBA- Exporte de Informacion."/>
    <m/>
    <m/>
    <m/>
    <m/>
    <m/>
    <m/>
    <m/>
    <m/>
    <x v="0"/>
  </r>
  <r>
    <s v="id.:35448"/>
    <x v="2"/>
    <m/>
    <s v="09 - FBA- Exporte Informacion Medidor Principal."/>
    <m/>
    <m/>
    <m/>
    <m/>
    <m/>
    <m/>
    <m/>
    <m/>
    <x v="0"/>
  </r>
  <r>
    <s v="id.:35449"/>
    <x v="2"/>
    <m/>
    <s v="10 - FBA- Exporte Informacion Medidor de respaldo."/>
    <m/>
    <m/>
    <m/>
    <m/>
    <m/>
    <m/>
    <m/>
    <m/>
    <x v="0"/>
  </r>
  <r>
    <s v="id.:35450"/>
    <x v="2"/>
    <m/>
    <s v="11 - FBA- Generar el reporte."/>
    <m/>
    <m/>
    <m/>
    <m/>
    <m/>
    <m/>
    <m/>
    <m/>
    <x v="0"/>
  </r>
  <r>
    <s v="id.:35451"/>
    <x v="2"/>
    <m/>
    <s v="12 - FBA- Exporte fecha y hora del medidor."/>
    <m/>
    <s v=""/>
    <s v=""/>
    <s v=""/>
    <s v=""/>
    <m/>
    <m/>
    <m/>
    <x v="0"/>
  </r>
  <r>
    <s v="id.:35452"/>
    <x v="2"/>
    <m/>
    <s v="13 - FBA- Generar Archivo."/>
    <m/>
    <s v=""/>
    <s v=""/>
    <s v=""/>
    <s v=""/>
    <m/>
    <m/>
    <m/>
    <x v="0"/>
  </r>
  <r>
    <s v="id.:35453"/>
    <x v="2"/>
    <m/>
    <s v="14 - FBA- Organizar la Informacion."/>
    <m/>
    <s v=""/>
    <s v=""/>
    <s v=""/>
    <s v=""/>
    <m/>
    <m/>
    <m/>
    <x v="0"/>
  </r>
  <r>
    <s v="id.:35454"/>
    <x v="2"/>
    <m/>
    <s v="15 - FBA- Ajuste Según Informacion."/>
    <m/>
    <s v=""/>
    <s v=""/>
    <s v=""/>
    <s v=""/>
    <m/>
    <m/>
    <m/>
    <x v="0"/>
  </r>
  <r>
    <s v="id.:35455"/>
    <x v="2"/>
    <m/>
    <s v="16 - FBA- Generar el reporte con el símbolo guión (-)."/>
    <m/>
    <m/>
    <m/>
    <m/>
    <m/>
    <m/>
    <m/>
    <m/>
    <x v="0"/>
  </r>
  <r>
    <s v="id.:35456"/>
    <x v="2"/>
    <m/>
    <s v="17 - FBA- Generar el archivo CSV."/>
    <m/>
    <m/>
    <m/>
    <m/>
    <m/>
    <m/>
    <m/>
    <m/>
    <x v="0"/>
  </r>
  <r>
    <s v="id.:35457"/>
    <x v="2"/>
    <m/>
    <s v="18 - FBA- Generar el reporte con el punto y coma (;)."/>
    <m/>
    <m/>
    <m/>
    <m/>
    <m/>
    <m/>
    <m/>
    <m/>
    <x v="0"/>
  </r>
  <r>
    <s v="id.:35458"/>
    <x v="2"/>
    <m/>
    <s v="19 - FBA- Generar el reporte nombre correcto."/>
    <m/>
    <m/>
    <m/>
    <m/>
    <m/>
    <m/>
    <m/>
    <m/>
    <x v="0"/>
  </r>
  <r>
    <s v="id.:35459"/>
    <x v="2"/>
    <m/>
    <s v="20 - FBA- Generar el reporte según los tiempos."/>
    <m/>
    <m/>
    <m/>
    <m/>
    <m/>
    <m/>
    <m/>
    <m/>
    <x v="0"/>
  </r>
  <r>
    <s v="id.:35460"/>
    <x v="2"/>
    <m/>
    <s v="21 - FBA- No se tenga información de ningún dvp."/>
    <m/>
    <m/>
    <m/>
    <m/>
    <m/>
    <m/>
    <m/>
    <m/>
    <x v="0"/>
  </r>
  <r>
    <s v="id.:35461"/>
    <x v="2"/>
    <m/>
    <s v="22 - FBA- No se tenga acceso a la ruta de exportación."/>
    <m/>
    <m/>
    <m/>
    <m/>
    <m/>
    <m/>
    <m/>
    <m/>
    <x v="0"/>
  </r>
  <r>
    <s v="id.:35462"/>
    <x v="2"/>
    <m/>
    <s v="23 - FBA -  No  información de Fecha y hora medidor/servidor."/>
    <m/>
    <m/>
    <m/>
    <m/>
    <m/>
    <m/>
    <m/>
    <m/>
    <x v="0"/>
  </r>
  <r>
    <s v="id.:35463"/>
    <x v="2"/>
    <m/>
    <s v="24 - FBA-  No  información de CT."/>
    <m/>
    <m/>
    <m/>
    <m/>
    <m/>
    <m/>
    <m/>
    <m/>
    <x v="0"/>
  </r>
  <r>
    <s v="id.:35464"/>
    <x v="2"/>
    <m/>
    <s v="25 - FBA-  No  información de PT."/>
    <m/>
    <m/>
    <m/>
    <m/>
    <m/>
    <m/>
    <m/>
    <m/>
    <x v="0"/>
  </r>
  <r>
    <s v="id.:35465"/>
    <x v="2"/>
    <m/>
    <s v="26 - FBA-  Generacion Trailfile."/>
    <m/>
    <m/>
    <m/>
    <m/>
    <m/>
    <m/>
    <m/>
    <m/>
    <x v="0"/>
  </r>
  <r>
    <s v="id.:35468"/>
    <x v="3"/>
    <m/>
    <s v="01 - FBA- Generar Reporte."/>
    <m/>
    <m/>
    <m/>
    <m/>
    <m/>
    <m/>
    <m/>
    <m/>
    <x v="0"/>
  </r>
  <r>
    <s v="id.:35469"/>
    <x v="3"/>
    <m/>
    <s v="02 - FBA- Control de Acceso."/>
    <m/>
    <m/>
    <m/>
    <m/>
    <m/>
    <m/>
    <m/>
    <m/>
    <x v="0"/>
  </r>
  <r>
    <s v="id.:35470"/>
    <x v="3"/>
    <m/>
    <s v="03 - FBA- Permisos de Usuarios."/>
    <m/>
    <m/>
    <m/>
    <m/>
    <m/>
    <m/>
    <m/>
    <m/>
    <x v="0"/>
  </r>
  <r>
    <s v="id.:35471"/>
    <x v="3"/>
    <m/>
    <s v="04 - FBA- Comunicación de manera segura."/>
    <m/>
    <m/>
    <m/>
    <m/>
    <m/>
    <m/>
    <m/>
    <m/>
    <x v="0"/>
  </r>
  <r>
    <s v="id.:35472"/>
    <x v="3"/>
    <m/>
    <s v="05 - FBA- Soporte Interfaz."/>
    <m/>
    <m/>
    <m/>
    <m/>
    <m/>
    <m/>
    <m/>
    <m/>
    <x v="0"/>
  </r>
  <r>
    <s v="id.:35473"/>
    <x v="3"/>
    <m/>
    <s v="06 - FBA- Soporte generacion archivo."/>
    <m/>
    <m/>
    <m/>
    <m/>
    <m/>
    <m/>
    <m/>
    <m/>
    <x v="0"/>
  </r>
  <r>
    <s v="id.:35474"/>
    <x v="3"/>
    <m/>
    <s v="07 - FBA- Soporte Idioma Ingles."/>
    <m/>
    <m/>
    <m/>
    <m/>
    <m/>
    <m/>
    <m/>
    <m/>
    <x v="0"/>
  </r>
  <r>
    <s v="id.:35475"/>
    <x v="3"/>
    <m/>
    <s v="08 - FBA- Soporte Idioma Español."/>
    <m/>
    <m/>
    <m/>
    <m/>
    <m/>
    <m/>
    <m/>
    <m/>
    <x v="0"/>
  </r>
  <r>
    <s v="id.:35476"/>
    <x v="3"/>
    <m/>
    <s v="09 - FBA- Soporte Idioma Portugués."/>
    <m/>
    <m/>
    <m/>
    <m/>
    <m/>
    <m/>
    <m/>
    <m/>
    <x v="0"/>
  </r>
  <r>
    <s v="id.:35381"/>
    <x v="4"/>
    <m/>
    <s v="01 - FBA- Visualizar resultado generación reporte “Configuración del dispositivo”  de forma exitosa"/>
    <m/>
    <m/>
    <m/>
    <m/>
    <m/>
    <m/>
    <m/>
    <m/>
    <x v="0"/>
  </r>
  <r>
    <s v="id.:35382"/>
    <x v="4"/>
    <m/>
    <s v="02 - FBA- Visualizar resultado generación reporte “Configuración del dispositivo”  de forma fallida"/>
    <m/>
    <m/>
    <m/>
    <m/>
    <m/>
    <m/>
    <m/>
    <m/>
    <x v="0"/>
  </r>
  <r>
    <s v="id.:35383"/>
    <x v="4"/>
    <m/>
    <s v="03 - FBA- Visualizar resultado  generación  reporte “Configuración del dispositivo”  de forma alerta"/>
    <m/>
    <m/>
    <m/>
    <m/>
    <m/>
    <m/>
    <m/>
    <m/>
    <x v="0"/>
  </r>
  <r>
    <s v="id.:35384"/>
    <x v="4"/>
    <m/>
    <s v="04 - FBA- Registro resultado descripcion"/>
    <m/>
    <m/>
    <m/>
    <m/>
    <m/>
    <m/>
    <m/>
    <m/>
    <x v="0"/>
  </r>
  <r>
    <s v="id.:35385"/>
    <x v="4"/>
    <m/>
    <s v="05 - FBA- Registro ID del punto de medida"/>
    <m/>
    <m/>
    <m/>
    <m/>
    <m/>
    <m/>
    <m/>
    <m/>
    <x v="0"/>
  </r>
  <r>
    <s v="id.:35386"/>
    <x v="4"/>
    <m/>
    <s v="06 - FBA- Registro Tipo de exportación"/>
    <m/>
    <m/>
    <m/>
    <m/>
    <m/>
    <m/>
    <m/>
    <m/>
    <x v="0"/>
  </r>
  <r>
    <s v="id.:35387"/>
    <x v="4"/>
    <m/>
    <s v="07 - FBA- Registro es respaldo"/>
    <m/>
    <m/>
    <m/>
    <m/>
    <m/>
    <m/>
    <m/>
    <m/>
    <x v="0"/>
  </r>
  <r>
    <s v="id.:35388"/>
    <x v="4"/>
    <m/>
    <s v="08 - FBA- Registro Estado Exitoso"/>
    <m/>
    <m/>
    <m/>
    <m/>
    <m/>
    <m/>
    <m/>
    <m/>
    <x v="0"/>
  </r>
  <r>
    <s v="id.:35389"/>
    <x v="4"/>
    <m/>
    <s v="09 - FBA- Registro Estado Fallido"/>
    <m/>
    <s v=""/>
    <s v=""/>
    <s v=""/>
    <s v=""/>
    <m/>
    <m/>
    <m/>
    <x v="0"/>
  </r>
  <r>
    <s v="id.:35390"/>
    <x v="4"/>
    <m/>
    <s v="10 - FBA- Registro Estado Advertencia"/>
    <m/>
    <s v=""/>
    <s v=""/>
    <s v=""/>
    <s v=""/>
    <m/>
    <m/>
    <m/>
    <x v="0"/>
  </r>
  <r>
    <s v="id.:35391"/>
    <x v="4"/>
    <m/>
    <s v="11- FBA- Resultado Desde"/>
    <m/>
    <s v=""/>
    <s v=""/>
    <s v=""/>
    <s v=""/>
    <m/>
    <m/>
    <m/>
    <x v="0"/>
  </r>
  <r>
    <s v="id.:35392"/>
    <x v="4"/>
    <m/>
    <s v="12 - FBA- Resultado Hasta"/>
    <m/>
    <s v=""/>
    <s v=""/>
    <s v=""/>
    <s v=""/>
    <m/>
    <m/>
    <m/>
    <x v="0"/>
  </r>
  <r>
    <s v="id.:35393"/>
    <x v="4"/>
    <m/>
    <s v="13 - FBA- Resultado Estación de trabajo"/>
    <m/>
    <m/>
    <m/>
    <m/>
    <m/>
    <m/>
    <m/>
    <m/>
    <x v="0"/>
  </r>
  <r>
    <s v="id.:35394"/>
    <x v="4"/>
    <m/>
    <s v="14 - FBA- Resultado Nombre de archivo"/>
    <m/>
    <m/>
    <m/>
    <m/>
    <m/>
    <m/>
    <m/>
    <m/>
    <x v="0"/>
  </r>
  <r>
    <s v="id.:35395"/>
    <x v="4"/>
    <m/>
    <s v="15 - FBA- Resultado Fecha de inicio"/>
    <m/>
    <m/>
    <m/>
    <m/>
    <m/>
    <m/>
    <m/>
    <m/>
    <x v="0"/>
  </r>
  <r>
    <s v="id.:35396"/>
    <x v="4"/>
    <m/>
    <s v="16 - FBA- Resultado Fecha final"/>
    <m/>
    <m/>
    <m/>
    <m/>
    <m/>
    <m/>
    <m/>
    <m/>
    <x v="0"/>
  </r>
  <r>
    <s v="id.:35397"/>
    <x v="4"/>
    <m/>
    <s v="17 - FBA- Resultado Total en segundos"/>
    <m/>
    <m/>
    <m/>
    <m/>
    <m/>
    <m/>
    <m/>
    <m/>
    <x v="0"/>
  </r>
  <r>
    <s v="id.:35398"/>
    <x v="4"/>
    <m/>
    <s v="18 - FBA- Resultado Mensaje"/>
    <m/>
    <m/>
    <m/>
    <m/>
    <m/>
    <m/>
    <m/>
    <m/>
    <x v="0"/>
  </r>
  <r>
    <s v="id.:35399"/>
    <x v="4"/>
    <m/>
    <s v="19 - FBA- Conservar comportamientos"/>
    <m/>
    <m/>
    <m/>
    <m/>
    <m/>
    <m/>
    <m/>
    <m/>
    <x v="0"/>
  </r>
  <r>
    <s v="id.:35400"/>
    <x v="4"/>
    <m/>
    <s v="20 - FBA- Visualizar resultado log exportaciones"/>
    <m/>
    <m/>
    <m/>
    <m/>
    <m/>
    <m/>
    <m/>
    <m/>
    <x v="0"/>
  </r>
  <r>
    <s v="id.:35401"/>
    <x v="4"/>
    <m/>
    <s v="21 - FBA- Registro solo una entrada estado exitoso"/>
    <m/>
    <m/>
    <m/>
    <m/>
    <m/>
    <m/>
    <m/>
    <m/>
    <x v="0"/>
  </r>
  <r>
    <s v="id.:35402"/>
    <x v="4"/>
    <m/>
    <s v="22 - FBA- Registro solo una entrada estado Fallido"/>
    <m/>
    <m/>
    <m/>
    <m/>
    <m/>
    <m/>
    <m/>
    <m/>
    <x v="0"/>
  </r>
  <r>
    <s v="id.:35403"/>
    <x v="4"/>
    <m/>
    <s v="23 - FBA- Registro solo una entrada estado Mensaje"/>
    <m/>
    <m/>
    <m/>
    <m/>
    <m/>
    <m/>
    <m/>
    <m/>
    <x v="0"/>
  </r>
  <r>
    <s v="id.:35404"/>
    <x v="4"/>
    <m/>
    <s v="24 - FBA- Fallo del envío del reporte por correo electrónico"/>
    <m/>
    <m/>
    <m/>
    <m/>
    <m/>
    <m/>
    <m/>
    <m/>
    <x v="0"/>
  </r>
  <r>
    <s v="id.:35405"/>
    <x v="4"/>
    <m/>
    <s v="25 - FBA- Fallo del proceso porque no se encontró información del dvp para los medidores"/>
    <m/>
    <m/>
    <m/>
    <m/>
    <m/>
    <m/>
    <m/>
    <m/>
    <x v="0"/>
  </r>
  <r>
    <s v="id.:35406"/>
    <x v="4"/>
    <m/>
    <s v="26 - FBA- Resultado con estado &quot;Warning&quot; para la agenda ejecutada "/>
    <m/>
    <m/>
    <m/>
    <m/>
    <m/>
    <m/>
    <m/>
    <m/>
    <x v="0"/>
  </r>
  <r>
    <s v="id.:35407"/>
    <x v="4"/>
    <m/>
    <s v="27 - FBA- &quot;Warning&quot;  No encontrado Info Hora Medidor/Servidor"/>
    <m/>
    <m/>
    <m/>
    <m/>
    <m/>
    <m/>
    <m/>
    <m/>
    <x v="0"/>
  </r>
  <r>
    <s v="id.:35408"/>
    <x v="4"/>
    <m/>
    <s v="28 - FBA- &quot;Warning&quot;  No encontrado CT"/>
    <m/>
    <s v=""/>
    <s v=""/>
    <s v=""/>
    <s v=""/>
    <m/>
    <m/>
    <m/>
    <x v="0"/>
  </r>
  <r>
    <s v="id.:35409"/>
    <x v="4"/>
    <m/>
    <s v="29 - FBA- &quot;Warning&quot;  No encontrado PT"/>
    <m/>
    <s v=""/>
    <s v=""/>
    <s v=""/>
    <s v=""/>
    <m/>
    <m/>
    <m/>
    <x v="0"/>
  </r>
  <r>
    <s v="id.:35410"/>
    <x v="4"/>
    <m/>
    <s v="30 - FBA- Ejecución agenda y fallo conexión a la base de datos"/>
    <m/>
    <s v=""/>
    <s v=""/>
    <s v=""/>
    <s v=""/>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Dinámica2" cacheId="2"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A3:B14" firstHeaderRow="1" firstDataRow="1" firstDataCol="1"/>
  <pivotFields count="13">
    <pivotField showAll="0"/>
    <pivotField axis="axisRow" showAll="0">
      <items count="6">
        <item x="0"/>
        <item x="2"/>
        <item x="1"/>
        <item x="3"/>
        <item x="4"/>
        <item t="default"/>
      </items>
    </pivotField>
    <pivotField showAll="0"/>
    <pivotField showAll="0"/>
    <pivotField showAll="0"/>
    <pivotField showAll="0"/>
    <pivotField showAll="0"/>
    <pivotField showAll="0"/>
    <pivotField showAll="0"/>
    <pivotField showAll="0"/>
    <pivotField showAll="0"/>
    <pivotField showAll="0"/>
    <pivotField axis="axisRow" dataField="1" showAll="0">
      <items count="6">
        <item m="1" x="4"/>
        <item m="1" x="3"/>
        <item m="1" x="1"/>
        <item m="1" x="2"/>
        <item x="0"/>
        <item t="default"/>
      </items>
    </pivotField>
  </pivotFields>
  <rowFields count="2">
    <field x="1"/>
    <field x="12"/>
  </rowFields>
  <rowItems count="11">
    <i>
      <x/>
    </i>
    <i r="1">
      <x v="4"/>
    </i>
    <i>
      <x v="1"/>
    </i>
    <i r="1">
      <x v="4"/>
    </i>
    <i>
      <x v="2"/>
    </i>
    <i r="1">
      <x v="4"/>
    </i>
    <i>
      <x v="3"/>
    </i>
    <i r="1">
      <x v="4"/>
    </i>
    <i>
      <x v="4"/>
    </i>
    <i r="1">
      <x v="4"/>
    </i>
    <i t="grand">
      <x/>
    </i>
  </rowItems>
  <colItems count="1">
    <i/>
  </colItems>
  <dataFields count="1">
    <dataField name="Cuenta de Estado final" fld="1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ablaDinámica3" cacheId="1" applyNumberFormats="0" applyBorderFormats="0" applyFontFormats="0" applyPatternFormats="0" applyAlignmentFormats="0" applyWidthHeightFormats="1" dataCaption="Valores" updatedVersion="6" minRefreshableVersion="3" rowGrandTotals="0" colGrandTotals="0" itemPrintTitles="1" createdVersion="6" indent="0" outline="1" outlineData="1" multipleFieldFilters="0">
  <location ref="B3:B23" firstHeaderRow="1" firstDataRow="1" firstDataCol="1" rowPageCount="1" colPageCount="1"/>
  <pivotFields count="5">
    <pivotField axis="axisRow" showAll="0">
      <items count="34">
        <item m="1" x="31"/>
        <item m="1" x="32"/>
        <item m="1" x="24"/>
        <item m="1" x="22"/>
        <item m="1" x="29"/>
        <item m="1" x="26"/>
        <item m="1" x="23"/>
        <item m="1" x="30"/>
        <item m="1" x="25"/>
        <item m="1" x="21"/>
        <item m="1" x="28"/>
        <item m="1" x="27"/>
        <item x="0"/>
        <item x="4"/>
        <item x="5"/>
        <item x="6"/>
        <item x="10"/>
        <item x="19"/>
        <item x="20"/>
        <item x="1"/>
        <item x="2"/>
        <item x="3"/>
        <item x="7"/>
        <item x="8"/>
        <item x="9"/>
        <item x="15"/>
        <item x="16"/>
        <item x="17"/>
        <item x="18"/>
        <item x="11"/>
        <item x="12"/>
        <item x="13"/>
        <item x="14"/>
        <item t="default"/>
      </items>
    </pivotField>
    <pivotField showAll="0"/>
    <pivotField showAll="0"/>
    <pivotField showAll="0"/>
    <pivotField axis="axisPage" multipleItemSelectionAllowed="1" showAll="0">
      <items count="10">
        <item h="1" x="0"/>
        <item m="1" x="6"/>
        <item x="3"/>
        <item x="1"/>
        <item m="1" x="8"/>
        <item m="1" x="7"/>
        <item h="1" x="4"/>
        <item x="5"/>
        <item x="2"/>
        <item t="default"/>
      </items>
    </pivotField>
  </pivotFields>
  <rowFields count="1">
    <field x="0"/>
  </rowFields>
  <rowItems count="20">
    <i>
      <x v="12"/>
    </i>
    <i>
      <x v="13"/>
    </i>
    <i>
      <x v="14"/>
    </i>
    <i>
      <x v="15"/>
    </i>
    <i>
      <x v="16"/>
    </i>
    <i>
      <x v="18"/>
    </i>
    <i>
      <x v="19"/>
    </i>
    <i>
      <x v="20"/>
    </i>
    <i>
      <x v="21"/>
    </i>
    <i>
      <x v="22"/>
    </i>
    <i>
      <x v="23"/>
    </i>
    <i>
      <x v="24"/>
    </i>
    <i>
      <x v="25"/>
    </i>
    <i>
      <x v="26"/>
    </i>
    <i>
      <x v="27"/>
    </i>
    <i>
      <x v="28"/>
    </i>
    <i>
      <x v="29"/>
    </i>
    <i>
      <x v="30"/>
    </i>
    <i>
      <x v="31"/>
    </i>
    <i>
      <x v="32"/>
    </i>
  </rowItems>
  <colItems count="1">
    <i/>
  </colItems>
  <pageFields count="1">
    <pageField fld="4"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Incidencias vs. Casos de Pruebas" cacheId="0" applyNumberFormats="0" applyBorderFormats="0" applyFontFormats="0" applyPatternFormats="0" applyAlignmentFormats="0" applyWidthHeightFormats="1" dataCaption="Valores" updatedVersion="6" minRefreshableVersion="3" itemPrintTitles="1" mergeItem="1" createdVersion="6" indent="0" outline="1" outlineData="1" multipleFieldFilters="0" fieldListSortAscending="1">
  <location ref="A3:D8" firstHeaderRow="1" firstDataRow="2" firstDataCol="1" rowPageCount="1" colPageCount="1"/>
  <pivotFields count="12">
    <pivotField showAll="0"/>
    <pivotField multipleItemSelectionAllowed="1" showAll="0"/>
    <pivotField axis="axisRow" showAll="0">
      <items count="357">
        <item m="1" x="352"/>
        <item m="1" x="262"/>
        <item m="1" x="355"/>
        <item m="1" x="265"/>
        <item m="1" x="178"/>
        <item m="1" x="269"/>
        <item m="1" x="182"/>
        <item m="1" x="273"/>
        <item m="1" x="186"/>
        <item m="1" x="277"/>
        <item m="1" x="190"/>
        <item m="1" x="281"/>
        <item m="1" x="194"/>
        <item m="1" x="285"/>
        <item m="1" x="198"/>
        <item m="1" x="289"/>
        <item m="1" x="202"/>
        <item m="1" x="293"/>
        <item m="1" x="206"/>
        <item m="1" x="297"/>
        <item m="1" x="210"/>
        <item m="1" x="301"/>
        <item m="1" x="214"/>
        <item m="1" x="305"/>
        <item m="1" x="217"/>
        <item m="1" x="308"/>
        <item m="1" x="220"/>
        <item m="1" x="311"/>
        <item m="1" x="223"/>
        <item m="1" x="313"/>
        <item m="1" x="225"/>
        <item m="1" x="314"/>
        <item m="1" x="226"/>
        <item m="1" x="316"/>
        <item m="1" x="228"/>
        <item m="1" x="317"/>
        <item m="1" x="229"/>
        <item m="1" x="318"/>
        <item m="1" x="230"/>
        <item m="1" x="320"/>
        <item m="1" x="233"/>
        <item m="1" x="323"/>
        <item m="1" x="235"/>
        <item m="1" x="325"/>
        <item m="1" x="237"/>
        <item m="1" x="327"/>
        <item m="1" x="239"/>
        <item m="1" x="329"/>
        <item m="1" x="241"/>
        <item m="1" x="331"/>
        <item m="1" x="243"/>
        <item m="1" x="333"/>
        <item m="1" x="245"/>
        <item m="1" x="335"/>
        <item m="1" x="247"/>
        <item m="1" x="337"/>
        <item m="1" x="249"/>
        <item m="1" x="339"/>
        <item m="1" x="252"/>
        <item m="1" x="343"/>
        <item m="1" x="347"/>
        <item m="1" x="258"/>
        <item m="1" x="348"/>
        <item m="1" x="259"/>
        <item m="1" x="351"/>
        <item m="1" x="261"/>
        <item m="1" x="354"/>
        <item m="1" x="264"/>
        <item m="1" x="177"/>
        <item m="1" x="268"/>
        <item m="1" x="181"/>
        <item m="1" x="272"/>
        <item m="1" x="185"/>
        <item m="1" x="276"/>
        <item m="1" x="189"/>
        <item m="1" x="280"/>
        <item m="1" x="193"/>
        <item m="1" x="284"/>
        <item m="1" x="197"/>
        <item m="1" x="288"/>
        <item m="1" x="201"/>
        <item m="1" x="292"/>
        <item m="1" x="205"/>
        <item m="1" x="296"/>
        <item m="1" x="209"/>
        <item m="1" x="300"/>
        <item m="1" x="213"/>
        <item m="1" x="304"/>
        <item m="1" x="338"/>
        <item m="1" x="251"/>
        <item m="1" x="342"/>
        <item m="1" x="255"/>
        <item m="1" x="346"/>
        <item m="1" x="257"/>
        <item m="1" x="350"/>
        <item m="1" x="260"/>
        <item m="1" x="353"/>
        <item m="1" x="263"/>
        <item m="1" x="176"/>
        <item m="1" x="267"/>
        <item m="1" x="180"/>
        <item m="1" x="271"/>
        <item m="1" x="184"/>
        <item m="1" x="275"/>
        <item m="1" x="188"/>
        <item m="1" x="279"/>
        <item m="1" x="192"/>
        <item m="1" x="283"/>
        <item m="1" x="196"/>
        <item m="1" x="287"/>
        <item m="1" x="200"/>
        <item m="1" x="291"/>
        <item m="1" x="204"/>
        <item m="1" x="295"/>
        <item m="1" x="208"/>
        <item m="1" x="299"/>
        <item m="1" x="212"/>
        <item m="1" x="303"/>
        <item m="1" x="216"/>
        <item m="1" x="307"/>
        <item m="1" x="340"/>
        <item m="1" x="219"/>
        <item m="1" x="253"/>
        <item m="1" x="310"/>
        <item m="1" x="344"/>
        <item m="1" x="222"/>
        <item m="1" x="183"/>
        <item m="1" x="232"/>
        <item m="1" x="274"/>
        <item m="1" x="322"/>
        <item m="1" x="187"/>
        <item m="1" x="234"/>
        <item m="1" x="278"/>
        <item m="1" x="324"/>
        <item m="1" x="191"/>
        <item m="1" x="236"/>
        <item m="1" x="282"/>
        <item m="1" x="326"/>
        <item m="1" x="195"/>
        <item m="1" x="238"/>
        <item m="1" x="286"/>
        <item m="1" x="328"/>
        <item m="1" x="199"/>
        <item m="1" x="240"/>
        <item m="1" x="290"/>
        <item m="1" x="330"/>
        <item m="1" x="203"/>
        <item m="1" x="242"/>
        <item m="1" x="294"/>
        <item m="1" x="332"/>
        <item m="1" x="207"/>
        <item m="1" x="244"/>
        <item m="1" x="298"/>
        <item m="1" x="334"/>
        <item m="1" x="211"/>
        <item m="1" x="246"/>
        <item m="1" x="302"/>
        <item m="1" x="336"/>
        <item m="1" x="215"/>
        <item m="1" x="248"/>
        <item m="1" x="306"/>
        <item m="1" x="218"/>
        <item m="1" x="250"/>
        <item m="1" x="309"/>
        <item m="1" x="341"/>
        <item m="1" x="221"/>
        <item m="1" x="254"/>
        <item m="1" x="312"/>
        <item m="1" x="345"/>
        <item m="1" x="224"/>
        <item m="1" x="256"/>
        <item m="1" x="315"/>
        <item m="1" x="349"/>
        <item m="1" x="227"/>
        <item m="1" x="266"/>
        <item m="1" x="319"/>
        <item m="1" x="179"/>
        <item m="1" x="231"/>
        <item m="1" x="270"/>
        <item m="1" x="321"/>
        <item x="10"/>
        <item x="0"/>
        <item x="1"/>
        <item x="2"/>
        <item x="3"/>
        <item x="4"/>
        <item x="5"/>
        <item x="6"/>
        <item x="7"/>
        <item x="8"/>
        <item x="9"/>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t="default"/>
      </items>
    </pivotField>
    <pivotField showAll="0"/>
    <pivotField showAll="0"/>
    <pivotField showAll="0"/>
    <pivotField showAll="0"/>
    <pivotField axis="axisRow" showAll="0">
      <items count="35">
        <item m="1" x="31"/>
        <item m="1" x="32"/>
        <item m="1" x="24"/>
        <item m="1" x="22"/>
        <item m="1" x="29"/>
        <item m="1" x="26"/>
        <item m="1" x="23"/>
        <item m="1" x="30"/>
        <item m="1" x="25"/>
        <item m="1" x="21"/>
        <item m="1" x="28"/>
        <item m="1" x="27"/>
        <item x="0"/>
        <item m="1" x="33"/>
        <item x="4"/>
        <item x="5"/>
        <item x="6"/>
        <item x="10"/>
        <item x="19"/>
        <item x="20"/>
        <item x="7"/>
        <item x="8"/>
        <item x="15"/>
        <item x="1"/>
        <item x="2"/>
        <item x="3"/>
        <item x="9"/>
        <item x="16"/>
        <item x="17"/>
        <item x="18"/>
        <item x="11"/>
        <item x="12"/>
        <item x="13"/>
        <item x="14"/>
        <item t="default"/>
      </items>
    </pivotField>
    <pivotField dataField="1" showAll="0"/>
    <pivotField axis="axisCol" showAll="0">
      <items count="6">
        <item h="1" x="0"/>
        <item x="1"/>
        <item x="2"/>
        <item h="1" x="3"/>
        <item h="1" x="4"/>
        <item t="default"/>
      </items>
    </pivotField>
    <pivotField axis="axisRow" showAll="0">
      <items count="7">
        <item h="1" x="0"/>
        <item sd="0" x="3"/>
        <item sd="0" x="1"/>
        <item sd="0" x="2"/>
        <item h="1" x="4"/>
        <item h="1" x="5"/>
        <item t="default"/>
      </items>
    </pivotField>
    <pivotField axis="axisPage" multipleItemSelectionAllowed="1" showAll="0">
      <items count="10">
        <item x="0"/>
        <item m="1" x="6"/>
        <item x="3"/>
        <item x="1"/>
        <item m="1" x="8"/>
        <item m="1" x="7"/>
        <item x="4"/>
        <item x="5"/>
        <item x="2"/>
        <item t="default"/>
      </items>
    </pivotField>
  </pivotFields>
  <rowFields count="3">
    <field x="10"/>
    <field x="7"/>
    <field x="2"/>
  </rowFields>
  <rowItems count="4">
    <i>
      <x v="1"/>
    </i>
    <i>
      <x v="2"/>
    </i>
    <i>
      <x v="3"/>
    </i>
    <i t="grand">
      <x/>
    </i>
  </rowItems>
  <colFields count="1">
    <field x="9"/>
  </colFields>
  <colItems count="3">
    <i>
      <x v="1"/>
    </i>
    <i>
      <x v="2"/>
    </i>
    <i t="grand">
      <x/>
    </i>
  </colItems>
  <pageFields count="1">
    <pageField fld="11" hier="-1"/>
  </pageFields>
  <dataFields count="1">
    <dataField name="Cuenta de Adjudicada a" fld="8" subtotal="count" baseField="0" baseItem="0"/>
  </dataFields>
  <formats count="27">
    <format dxfId="86">
      <pivotArea outline="0" collapsedLevelsAreSubtotals="1" fieldPosition="0"/>
    </format>
    <format dxfId="85">
      <pivotArea field="10" type="button" dataOnly="0" labelOnly="1" outline="0" axis="axisRow" fieldPosition="0"/>
    </format>
    <format dxfId="84">
      <pivotArea dataOnly="0" labelOnly="1" fieldPosition="0">
        <references count="1">
          <reference field="9" count="2">
            <x v="1"/>
            <x v="2"/>
          </reference>
        </references>
      </pivotArea>
    </format>
    <format dxfId="83">
      <pivotArea dataOnly="0" labelOnly="1" grandCol="1" outline="0" fieldPosition="0"/>
    </format>
    <format dxfId="82">
      <pivotArea field="10" type="button" dataOnly="0" labelOnly="1" outline="0" axis="axisRow" fieldPosition="0"/>
    </format>
    <format dxfId="81">
      <pivotArea dataOnly="0" labelOnly="1" fieldPosition="0">
        <references count="1">
          <reference field="9" count="2">
            <x v="1"/>
            <x v="2"/>
          </reference>
        </references>
      </pivotArea>
    </format>
    <format dxfId="80">
      <pivotArea dataOnly="0" labelOnly="1" grandCol="1" outline="0" fieldPosition="0"/>
    </format>
    <format dxfId="79">
      <pivotArea collapsedLevelsAreSubtotals="1" fieldPosition="0">
        <references count="1">
          <reference field="10" count="1">
            <x v="1"/>
          </reference>
        </references>
      </pivotArea>
    </format>
    <format dxfId="78">
      <pivotArea dataOnly="0" labelOnly="1" fieldPosition="0">
        <references count="1">
          <reference field="10" count="1">
            <x v="1"/>
          </reference>
        </references>
      </pivotArea>
    </format>
    <format dxfId="77">
      <pivotArea collapsedLevelsAreSubtotals="1" fieldPosition="0">
        <references count="1">
          <reference field="10" count="1">
            <x v="2"/>
          </reference>
        </references>
      </pivotArea>
    </format>
    <format dxfId="76">
      <pivotArea dataOnly="0" labelOnly="1" fieldPosition="0">
        <references count="1">
          <reference field="10" count="1">
            <x v="2"/>
          </reference>
        </references>
      </pivotArea>
    </format>
    <format dxfId="75">
      <pivotArea collapsedLevelsAreSubtotals="1" fieldPosition="0">
        <references count="1">
          <reference field="10" count="1">
            <x v="3"/>
          </reference>
        </references>
      </pivotArea>
    </format>
    <format dxfId="74">
      <pivotArea dataOnly="0" labelOnly="1" fieldPosition="0">
        <references count="1">
          <reference field="10" count="1">
            <x v="3"/>
          </reference>
        </references>
      </pivotArea>
    </format>
    <format dxfId="73">
      <pivotArea field="10" type="button" dataOnly="0" labelOnly="1" outline="0" axis="axisRow" fieldPosition="0"/>
    </format>
    <format dxfId="72">
      <pivotArea dataOnly="0" labelOnly="1" fieldPosition="0">
        <references count="1">
          <reference field="9" count="2">
            <x v="1"/>
            <x v="2"/>
          </reference>
        </references>
      </pivotArea>
    </format>
    <format dxfId="71">
      <pivotArea dataOnly="0" labelOnly="1" grandCol="1" outline="0" fieldPosition="0"/>
    </format>
    <format dxfId="70">
      <pivotArea dataOnly="0" fieldPosition="0">
        <references count="1">
          <reference field="10" count="1">
            <x v="1"/>
          </reference>
        </references>
      </pivotArea>
    </format>
    <format dxfId="69">
      <pivotArea dataOnly="0" fieldPosition="0">
        <references count="1">
          <reference field="10" count="1">
            <x v="2"/>
          </reference>
        </references>
      </pivotArea>
    </format>
    <format dxfId="68">
      <pivotArea dataOnly="0" fieldPosition="0">
        <references count="1">
          <reference field="10" count="1">
            <x v="3"/>
          </reference>
        </references>
      </pivotArea>
    </format>
    <format dxfId="67">
      <pivotArea field="10" type="button" dataOnly="0" labelOnly="1" outline="0" axis="axisRow" fieldPosition="0"/>
    </format>
    <format dxfId="66">
      <pivotArea dataOnly="0" labelOnly="1" fieldPosition="0">
        <references count="1">
          <reference field="9" count="2">
            <x v="1"/>
            <x v="2"/>
          </reference>
        </references>
      </pivotArea>
    </format>
    <format dxfId="65">
      <pivotArea dataOnly="0" labelOnly="1" grandCol="1" outline="0" fieldPosition="0"/>
    </format>
    <format dxfId="64">
      <pivotArea dataOnly="0" fieldPosition="0">
        <references count="1">
          <reference field="10" count="1">
            <x v="1"/>
          </reference>
        </references>
      </pivotArea>
    </format>
    <format dxfId="63">
      <pivotArea dataOnly="0" fieldPosition="0">
        <references count="1">
          <reference field="10" count="1">
            <x v="2"/>
          </reference>
        </references>
      </pivotArea>
    </format>
    <format dxfId="62">
      <pivotArea dataOnly="0" fieldPosition="0">
        <references count="1">
          <reference field="10" count="1">
            <x v="3"/>
          </reference>
        </references>
      </pivotArea>
    </format>
    <format dxfId="61">
      <pivotArea dataOnly="0" grandRow="1" fieldPosition="0"/>
    </format>
    <format dxfId="60">
      <pivotArea grandRow="1" grandCol="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a1" displayName="Tabla1" ref="A1:M10" totalsRowShown="0" headerRowDxfId="102" dataDxfId="101" tableBorderDxfId="100" headerRowCellStyle="Normal_Hoja2">
  <autoFilter ref="A1:M10"/>
  <tableColumns count="13">
    <tableColumn id="1" name="ID" dataDxfId="99" dataCellStyle="Normal_Hoja2"/>
    <tableColumn id="2" name="Modulo" dataDxfId="98"/>
    <tableColumn id="17" name="Pre Condición" dataDxfId="97"/>
    <tableColumn id="4" name="Caso de Prueba  " dataDxfId="96"/>
    <tableColumn id="8" name="N° Mantis" dataDxfId="95" dataCellStyle="Normal_Hoja2"/>
    <tableColumn id="9" name="Adjudicada a" dataDxfId="94" dataCellStyle="Normal_Hoja2">
      <calculatedColumnFormula>IF(E2="","",VLOOKUP($E2,#REF!,4,FALSE))</calculatedColumnFormula>
    </tableColumn>
    <tableColumn id="10" name="Equipo" dataDxfId="93" dataCellStyle="Normal_Hoja2">
      <calculatedColumnFormula>IF(F2="","",VLOOKUP($F2,#REF!,2,FALSE))</calculatedColumnFormula>
    </tableColumn>
    <tableColumn id="11" name="Severidad" dataDxfId="92" dataCellStyle="Normal_Hoja2">
      <calculatedColumnFormula>IF(E2="","",VLOOKUP($E2,#REF!,6,FALSE))</calculatedColumnFormula>
    </tableColumn>
    <tableColumn id="16" name="Resultado Esperado" dataDxfId="91" dataCellStyle="Normal_Hoja2"/>
    <tableColumn id="15" name="ID Mantis" dataDxfId="90" dataCellStyle="Normal_Hoja2"/>
    <tableColumn id="5" name="Fecha Reporte" dataDxfId="89" dataCellStyle="Normal_Hoja2"/>
    <tableColumn id="13" name="Observaciones" dataDxfId="88" dataCellStyle="Normal_Hoja2"/>
    <tableColumn id="14" name="Estado final" dataDxfId="87" dataCellStyle="Normal_Hoja2"/>
  </tableColumns>
  <tableStyleInfo name="TableStyleMedium2" showFirstColumn="0" showLastColumn="0" showRowStripes="1" showColumnStripes="0"/>
</table>
</file>

<file path=xl/tables/table2.xml><?xml version="1.0" encoding="utf-8"?>
<table xmlns="http://schemas.openxmlformats.org/spreadsheetml/2006/main" id="2" name="Tabla2" displayName="Tabla2" ref="A2:A7" totalsRowShown="0">
  <autoFilter ref="A2:A7"/>
  <tableColumns count="1">
    <tableColumn id="1" name="Columna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CJ10"/>
  <sheetViews>
    <sheetView showGridLines="0" tabSelected="1" zoomScale="110" zoomScaleNormal="110" workbookViewId="0">
      <pane xSplit="4" ySplit="1" topLeftCell="E2" activePane="bottomRight" state="frozen"/>
      <selection pane="topRight" activeCell="A24" sqref="A24:A25"/>
      <selection pane="bottomLeft" activeCell="A24" sqref="A24:A25"/>
      <selection pane="bottomRight" activeCell="B4" sqref="B4"/>
    </sheetView>
  </sheetViews>
  <sheetFormatPr baseColWidth="10" defaultColWidth="11.42578125" defaultRowHeight="15" x14ac:dyDescent="0.25"/>
  <cols>
    <col min="1" max="1" width="11.140625" style="120" customWidth="1"/>
    <col min="2" max="2" width="21.42578125" style="123" customWidth="1"/>
    <col min="3" max="3" width="24.7109375" style="123" bestFit="1" customWidth="1"/>
    <col min="4" max="4" width="39" style="123" customWidth="1"/>
    <col min="5" max="5" width="17.140625" style="120" hidden="1" customWidth="1"/>
    <col min="6" max="6" width="18.140625" style="123" hidden="1" customWidth="1"/>
    <col min="7" max="7" width="15" style="123" hidden="1" customWidth="1"/>
    <col min="8" max="8" width="0.7109375" style="123" hidden="1" customWidth="1"/>
    <col min="9" max="9" width="32.140625" style="123" customWidth="1"/>
    <col min="10" max="10" width="15" style="123" hidden="1" customWidth="1"/>
    <col min="11" max="11" width="13.42578125" style="123" hidden="1" customWidth="1"/>
    <col min="12" max="12" width="34.140625" style="123" customWidth="1"/>
    <col min="13" max="13" width="16.85546875" style="120" hidden="1" customWidth="1"/>
    <col min="14" max="14" width="7" style="120" hidden="1" customWidth="1"/>
    <col min="15" max="22" width="6.28515625" style="123" hidden="1" customWidth="1"/>
    <col min="23" max="23" width="7.7109375" style="123" hidden="1" customWidth="1"/>
    <col min="24" max="34" width="6.28515625" style="123" hidden="1" customWidth="1"/>
    <col min="35" max="35" width="7.7109375" style="123" hidden="1" customWidth="1"/>
    <col min="36" max="36" width="6.28515625" style="123" hidden="1" customWidth="1"/>
    <col min="37" max="37" width="8.85546875" style="123" hidden="1" customWidth="1"/>
    <col min="38" max="47" width="6.28515625" style="123" hidden="1" customWidth="1"/>
    <col min="48" max="48" width="6.85546875" style="123" hidden="1" customWidth="1"/>
    <col min="49" max="49" width="6.28515625" style="123" hidden="1" customWidth="1"/>
    <col min="50" max="51" width="6.85546875" style="123" hidden="1" customWidth="1"/>
    <col min="52" max="52" width="7.7109375" style="123" hidden="1" customWidth="1"/>
    <col min="53" max="57" width="6.85546875" style="123" hidden="1" customWidth="1"/>
    <col min="58" max="58" width="7.42578125" style="123" hidden="1" customWidth="1"/>
    <col min="59" max="63" width="6.28515625" style="123" hidden="1" customWidth="1"/>
    <col min="64" max="64" width="7.7109375" style="123" hidden="1" customWidth="1"/>
    <col min="65" max="67" width="6.28515625" style="123" hidden="1" customWidth="1"/>
    <col min="68" max="68" width="9.42578125" style="123" hidden="1" customWidth="1"/>
    <col min="69" max="73" width="6.28515625" style="123" hidden="1" customWidth="1"/>
    <col min="74" max="74" width="7.140625" style="123" hidden="1" customWidth="1"/>
    <col min="75" max="76" width="6.28515625" style="123" hidden="1" customWidth="1"/>
    <col min="77" max="77" width="7.42578125" style="123" hidden="1" customWidth="1"/>
    <col min="78" max="85" width="8.140625" style="123" hidden="1" customWidth="1"/>
    <col min="86" max="86" width="0" style="123" hidden="1" customWidth="1"/>
    <col min="87" max="16384" width="11.42578125" style="123"/>
  </cols>
  <sheetData>
    <row r="1" spans="1:88" s="2" customFormat="1" ht="96" customHeight="1" x14ac:dyDescent="0.25">
      <c r="A1" s="3" t="s">
        <v>0</v>
      </c>
      <c r="B1" s="4" t="s">
        <v>1</v>
      </c>
      <c r="C1" s="4" t="s">
        <v>2</v>
      </c>
      <c r="D1" s="122" t="s">
        <v>3</v>
      </c>
      <c r="E1" s="4" t="s">
        <v>4</v>
      </c>
      <c r="F1" s="4" t="s">
        <v>5</v>
      </c>
      <c r="G1" s="4" t="s">
        <v>6</v>
      </c>
      <c r="H1" s="4" t="s">
        <v>7</v>
      </c>
      <c r="I1" s="121" t="s">
        <v>8</v>
      </c>
      <c r="J1" s="121" t="s">
        <v>9</v>
      </c>
      <c r="K1" s="121" t="s">
        <v>10</v>
      </c>
      <c r="L1" s="121" t="s">
        <v>11</v>
      </c>
      <c r="M1" s="121" t="s">
        <v>12</v>
      </c>
      <c r="N1" s="120" t="s">
        <v>13</v>
      </c>
      <c r="O1" s="8" t="e">
        <f>IF(#REF!="","",#REF!)</f>
        <v>#REF!</v>
      </c>
      <c r="P1" s="8" t="e">
        <f>IF(#REF!="","",#REF!)</f>
        <v>#REF!</v>
      </c>
      <c r="Q1" s="8" t="e">
        <f>IF(#REF!="","",#REF!)</f>
        <v>#REF!</v>
      </c>
      <c r="R1" s="8" t="e">
        <f>IF(#REF!="","",#REF!)</f>
        <v>#REF!</v>
      </c>
      <c r="S1" s="8" t="e">
        <f>IF(#REF!="","",#REF!)</f>
        <v>#REF!</v>
      </c>
      <c r="T1" s="8" t="e">
        <f>IF(#REF!="","",#REF!)</f>
        <v>#REF!</v>
      </c>
      <c r="U1" s="8" t="e">
        <f>IF(#REF!="","",#REF!)</f>
        <v>#REF!</v>
      </c>
      <c r="V1" s="8" t="e">
        <f>IF(#REF!="","",#REF!)</f>
        <v>#REF!</v>
      </c>
      <c r="W1" s="7" t="e">
        <f>+#REF!</f>
        <v>#REF!</v>
      </c>
      <c r="X1" s="8" t="e">
        <f>IF(#REF!="","",#REF!)</f>
        <v>#REF!</v>
      </c>
      <c r="Y1" s="8" t="e">
        <f>IF(#REF!="","",#REF!)</f>
        <v>#REF!</v>
      </c>
      <c r="Z1" s="8" t="e">
        <f>IF(#REF!="","",#REF!)</f>
        <v>#REF!</v>
      </c>
      <c r="AA1" s="8" t="e">
        <f>IF(#REF!="","",#REF!)</f>
        <v>#REF!</v>
      </c>
      <c r="AB1" s="8" t="e">
        <f>IF(#REF!="","",#REF!)</f>
        <v>#REF!</v>
      </c>
      <c r="AC1" s="8" t="e">
        <f>IF(#REF!="","",#REF!)</f>
        <v>#REF!</v>
      </c>
      <c r="AD1" s="8" t="e">
        <f>IF(#REF!="","",#REF!)</f>
        <v>#REF!</v>
      </c>
      <c r="AE1" s="8" t="e">
        <f>IF(#REF!="","",#REF!)</f>
        <v>#REF!</v>
      </c>
      <c r="AF1" s="8" t="e">
        <f>IF(#REF!="","",#REF!)</f>
        <v>#REF!</v>
      </c>
      <c r="AG1" s="8" t="e">
        <f>IF(#REF!="","",#REF!)</f>
        <v>#REF!</v>
      </c>
      <c r="AH1" s="8" t="e">
        <f>IF(#REF!="","",#REF!)</f>
        <v>#REF!</v>
      </c>
      <c r="AI1" s="7" t="e">
        <f>+#REF!</f>
        <v>#REF!</v>
      </c>
      <c r="AJ1" s="8" t="e">
        <f>IF(#REF!="","",#REF!)</f>
        <v>#REF!</v>
      </c>
      <c r="AK1" s="8" t="e">
        <f>IF(#REF!="","",#REF!)</f>
        <v>#REF!</v>
      </c>
      <c r="AL1" s="8" t="e">
        <f>IF(#REF!="","",#REF!)</f>
        <v>#REF!</v>
      </c>
      <c r="AM1" s="8" t="e">
        <f>IF(#REF!="","",#REF!)</f>
        <v>#REF!</v>
      </c>
      <c r="AN1" s="8" t="e">
        <f>IF(#REF!="","",#REF!)</f>
        <v>#REF!</v>
      </c>
      <c r="AO1" s="8" t="e">
        <f>IF(#REF!="","",#REF!)</f>
        <v>#REF!</v>
      </c>
      <c r="AP1" s="8" t="e">
        <f>IF(#REF!="","",#REF!)</f>
        <v>#REF!</v>
      </c>
      <c r="AQ1" s="8" t="e">
        <f>IF(#REF!="","",#REF!)</f>
        <v>#REF!</v>
      </c>
      <c r="AR1" s="8" t="e">
        <f>IF(#REF!="","",#REF!)</f>
        <v>#REF!</v>
      </c>
      <c r="AS1" s="8" t="e">
        <f>IF(#REF!="","",#REF!)</f>
        <v>#REF!</v>
      </c>
      <c r="AT1" s="8" t="e">
        <f>IF(#REF!="","",#REF!)</f>
        <v>#REF!</v>
      </c>
      <c r="AU1" s="8" t="e">
        <f>IF(#REF!="","",#REF!)</f>
        <v>#REF!</v>
      </c>
      <c r="AV1" s="8" t="e">
        <f>IF(#REF!="","",#REF!)</f>
        <v>#REF!</v>
      </c>
      <c r="AW1" s="8" t="e">
        <f>IF(#REF!="","",#REF!)</f>
        <v>#REF!</v>
      </c>
      <c r="AX1" s="8" t="e">
        <f>IF(#REF!="","",#REF!)</f>
        <v>#REF!</v>
      </c>
      <c r="AY1" s="8" t="e">
        <f>IF(#REF!="","",#REF!)</f>
        <v>#REF!</v>
      </c>
      <c r="AZ1" s="7" t="e">
        <f>+#REF!</f>
        <v>#REF!</v>
      </c>
      <c r="BA1" s="8" t="e">
        <f>IF(#REF!="","",#REF!)</f>
        <v>#REF!</v>
      </c>
      <c r="BB1" s="8" t="e">
        <f>IF(#REF!="","",#REF!)</f>
        <v>#REF!</v>
      </c>
      <c r="BC1" s="8" t="e">
        <f>IF(#REF!="","",#REF!)</f>
        <v>#REF!</v>
      </c>
      <c r="BD1" s="8" t="e">
        <f>IF(#REF!="","",#REF!)</f>
        <v>#REF!</v>
      </c>
      <c r="BE1" s="8" t="e">
        <f>IF(#REF!="","",#REF!)</f>
        <v>#REF!</v>
      </c>
      <c r="BF1" s="7" t="e">
        <f>+#REF!</f>
        <v>#REF!</v>
      </c>
      <c r="BG1" s="8" t="e">
        <f>IF(#REF!="","",#REF!)</f>
        <v>#REF!</v>
      </c>
      <c r="BH1" s="8" t="e">
        <f>IF(#REF!="","",#REF!)</f>
        <v>#REF!</v>
      </c>
      <c r="BI1" s="8" t="e">
        <f>IF(#REF!="","",#REF!)</f>
        <v>#REF!</v>
      </c>
      <c r="BJ1" s="8" t="e">
        <f>IF(#REF!="","",#REF!)</f>
        <v>#REF!</v>
      </c>
      <c r="BK1" s="8" t="e">
        <f>IF(#REF!="","",#REF!)</f>
        <v>#REF!</v>
      </c>
      <c r="BL1" s="7" t="e">
        <f>+#REF!</f>
        <v>#REF!</v>
      </c>
      <c r="BM1" s="8" t="e">
        <f>IF(#REF!="","",#REF!)</f>
        <v>#REF!</v>
      </c>
      <c r="BN1" s="8" t="e">
        <f>IF(#REF!="","",#REF!)</f>
        <v>#REF!</v>
      </c>
      <c r="BO1" s="8" t="e">
        <f>IF(#REF!="","",#REF!)</f>
        <v>#REF!</v>
      </c>
      <c r="BP1" s="7" t="e">
        <f>+#REF!</f>
        <v>#REF!</v>
      </c>
      <c r="BQ1" s="8" t="e">
        <f>IF(#REF!="","",#REF!)</f>
        <v>#REF!</v>
      </c>
      <c r="BR1" s="8" t="e">
        <f>IF(#REF!="","",#REF!)</f>
        <v>#REF!</v>
      </c>
      <c r="BS1" s="6">
        <v>43966</v>
      </c>
      <c r="BT1" s="6">
        <v>43969</v>
      </c>
      <c r="BU1" s="6">
        <v>43970</v>
      </c>
      <c r="BV1" s="6">
        <v>43971</v>
      </c>
      <c r="BW1" s="6">
        <v>43972</v>
      </c>
      <c r="BX1" s="6">
        <v>43973</v>
      </c>
      <c r="BY1" s="6">
        <v>43977</v>
      </c>
      <c r="BZ1" s="8" t="e">
        <f>IF(#REF!="","",#REF!)</f>
        <v>#REF!</v>
      </c>
      <c r="CA1" s="8" t="e">
        <f>IF(#REF!="","",#REF!)</f>
        <v>#REF!</v>
      </c>
      <c r="CB1" s="8" t="e">
        <f>IF(#REF!="","",#REF!)</f>
        <v>#REF!</v>
      </c>
      <c r="CC1" s="6">
        <v>43983</v>
      </c>
      <c r="CD1" s="6">
        <v>43984</v>
      </c>
      <c r="CE1" s="6">
        <v>43985</v>
      </c>
      <c r="CF1" s="6">
        <v>43986</v>
      </c>
      <c r="CG1" s="8" t="e">
        <f>IF(#REF!="","",#REF!)</f>
        <v>#REF!</v>
      </c>
      <c r="CH1" s="8" t="e">
        <f>IF(#REF!="","",#REF!)</f>
        <v>#REF!</v>
      </c>
    </row>
    <row r="2" spans="1:88" s="132" customFormat="1" ht="60" x14ac:dyDescent="0.3">
      <c r="A2" s="126" t="s">
        <v>95</v>
      </c>
      <c r="B2" s="149" t="s">
        <v>77</v>
      </c>
      <c r="C2" s="127" t="s">
        <v>86</v>
      </c>
      <c r="D2" s="128" t="s">
        <v>110</v>
      </c>
      <c r="E2" s="129"/>
      <c r="F2" s="130"/>
      <c r="G2" s="130"/>
      <c r="H2" s="130"/>
      <c r="I2" s="82" t="s">
        <v>87</v>
      </c>
      <c r="J2" s="82"/>
      <c r="K2" s="125"/>
      <c r="L2" s="82" t="s">
        <v>88</v>
      </c>
      <c r="M2" s="131" t="s">
        <v>14</v>
      </c>
      <c r="O2" s="129" t="s">
        <v>14</v>
      </c>
      <c r="P2" s="129" t="s">
        <v>14</v>
      </c>
      <c r="Q2" s="129"/>
      <c r="R2" s="129"/>
      <c r="S2" s="129"/>
      <c r="T2" s="129"/>
      <c r="U2" s="129"/>
      <c r="V2" s="129"/>
      <c r="W2" s="133"/>
      <c r="X2" s="129"/>
      <c r="Y2" s="129"/>
      <c r="Z2" s="129"/>
      <c r="AA2" s="129"/>
      <c r="AB2" s="129"/>
      <c r="AC2" s="129"/>
      <c r="AD2" s="129"/>
      <c r="AE2" s="129"/>
      <c r="AF2" s="129"/>
      <c r="AG2" s="129"/>
      <c r="AH2" s="129"/>
      <c r="AI2" s="133"/>
      <c r="AJ2" s="129"/>
      <c r="AK2" s="129"/>
      <c r="AL2" s="129"/>
      <c r="AM2" s="129"/>
      <c r="AN2" s="129"/>
      <c r="AO2" s="129"/>
      <c r="AP2" s="129"/>
      <c r="AQ2" s="129"/>
      <c r="AR2" s="129"/>
      <c r="AS2" s="129"/>
      <c r="AT2" s="129"/>
      <c r="AU2" s="129"/>
      <c r="AV2" s="129"/>
      <c r="AW2" s="129"/>
      <c r="AX2" s="129"/>
      <c r="AY2" s="129"/>
      <c r="AZ2" s="133"/>
      <c r="BA2" s="129"/>
      <c r="BB2" s="129"/>
      <c r="BC2" s="129"/>
      <c r="BD2" s="129"/>
      <c r="BE2" s="129"/>
      <c r="BF2" s="133"/>
      <c r="BG2" s="129"/>
      <c r="BH2" s="129"/>
      <c r="BI2" s="129"/>
      <c r="BJ2" s="129"/>
      <c r="BK2" s="129"/>
      <c r="BL2" s="133"/>
      <c r="BM2" s="129"/>
      <c r="BN2" s="129"/>
      <c r="BO2" s="129"/>
      <c r="BP2" s="133"/>
      <c r="BQ2" s="129"/>
      <c r="BR2" s="134"/>
      <c r="BS2" s="134"/>
      <c r="BT2" s="134"/>
      <c r="BU2" s="134"/>
      <c r="BV2" s="134"/>
      <c r="BW2" s="134"/>
      <c r="BX2" s="134"/>
      <c r="BY2" s="134"/>
      <c r="BZ2" s="134"/>
      <c r="CA2" s="134"/>
      <c r="CB2" s="134"/>
      <c r="CC2" s="134"/>
      <c r="CD2" s="134"/>
      <c r="CE2" s="134"/>
      <c r="CF2" s="134"/>
      <c r="CG2" s="134"/>
      <c r="CH2" s="134"/>
    </row>
    <row r="3" spans="1:88" s="132" customFormat="1" ht="90.75" x14ac:dyDescent="0.3">
      <c r="A3" s="126" t="s">
        <v>96</v>
      </c>
      <c r="B3" s="149" t="s">
        <v>78</v>
      </c>
      <c r="C3" s="127" t="s">
        <v>104</v>
      </c>
      <c r="D3" s="128" t="s">
        <v>111</v>
      </c>
      <c r="E3" s="129"/>
      <c r="F3" s="130"/>
      <c r="G3" s="130"/>
      <c r="H3" s="130"/>
      <c r="I3" s="82" t="s">
        <v>112</v>
      </c>
      <c r="J3" s="82"/>
      <c r="K3" s="125"/>
      <c r="L3" s="82" t="s">
        <v>89</v>
      </c>
      <c r="M3" s="131" t="s">
        <v>14</v>
      </c>
      <c r="O3" s="129" t="s">
        <v>14</v>
      </c>
      <c r="P3" s="129"/>
      <c r="Q3" s="129"/>
      <c r="R3" s="129"/>
      <c r="S3" s="129"/>
      <c r="T3" s="129"/>
      <c r="U3" s="129"/>
      <c r="V3" s="129"/>
      <c r="W3" s="133"/>
      <c r="X3" s="129"/>
      <c r="Y3" s="129"/>
      <c r="Z3" s="129"/>
      <c r="AA3" s="129"/>
      <c r="AB3" s="129"/>
      <c r="AC3" s="129"/>
      <c r="AD3" s="129"/>
      <c r="AE3" s="129"/>
      <c r="AF3" s="129"/>
      <c r="AG3" s="129"/>
      <c r="AH3" s="129"/>
      <c r="AI3" s="133"/>
      <c r="AJ3" s="129"/>
      <c r="AK3" s="129"/>
      <c r="AL3" s="129"/>
      <c r="AM3" s="129"/>
      <c r="AN3" s="129"/>
      <c r="AO3" s="129"/>
      <c r="AP3" s="129"/>
      <c r="AQ3" s="129"/>
      <c r="AR3" s="129"/>
      <c r="AS3" s="129"/>
      <c r="AT3" s="129"/>
      <c r="AU3" s="129"/>
      <c r="AV3" s="129"/>
      <c r="AW3" s="129"/>
      <c r="AX3" s="129"/>
      <c r="AY3" s="129"/>
      <c r="AZ3" s="133"/>
      <c r="BA3" s="129"/>
      <c r="BB3" s="129"/>
      <c r="BC3" s="129"/>
      <c r="BD3" s="129"/>
      <c r="BE3" s="129"/>
      <c r="BF3" s="133"/>
      <c r="BG3" s="129"/>
      <c r="BH3" s="129"/>
      <c r="BI3" s="129"/>
      <c r="BJ3" s="129"/>
      <c r="BK3" s="129"/>
      <c r="BL3" s="133"/>
      <c r="BM3" s="129"/>
      <c r="BN3" s="129"/>
      <c r="BO3" s="129"/>
      <c r="BP3" s="133"/>
      <c r="BQ3" s="129"/>
      <c r="BR3" s="134"/>
      <c r="BS3" s="134"/>
      <c r="BT3" s="134"/>
      <c r="BU3" s="134"/>
      <c r="BV3" s="134"/>
      <c r="BW3" s="134"/>
      <c r="BX3" s="134"/>
      <c r="BY3" s="134"/>
      <c r="BZ3" s="134"/>
      <c r="CA3" s="134"/>
      <c r="CB3" s="134"/>
      <c r="CC3" s="134"/>
      <c r="CD3" s="134"/>
      <c r="CE3" s="134"/>
      <c r="CF3" s="134"/>
      <c r="CG3" s="134"/>
      <c r="CH3" s="134"/>
    </row>
    <row r="4" spans="1:88" s="132" customFormat="1" ht="95.25" customHeight="1" x14ac:dyDescent="0.3">
      <c r="A4" s="126" t="s">
        <v>97</v>
      </c>
      <c r="B4" s="149" t="s">
        <v>79</v>
      </c>
      <c r="C4" s="127" t="s">
        <v>91</v>
      </c>
      <c r="D4" s="128" t="s">
        <v>90</v>
      </c>
      <c r="E4" s="129"/>
      <c r="F4" s="130"/>
      <c r="G4" s="130"/>
      <c r="H4" s="130"/>
      <c r="I4" s="82" t="s">
        <v>113</v>
      </c>
      <c r="J4" s="82"/>
      <c r="K4" s="125"/>
      <c r="L4" s="82" t="s">
        <v>92</v>
      </c>
      <c r="M4" s="131" t="s">
        <v>14</v>
      </c>
      <c r="O4" s="129" t="s">
        <v>14</v>
      </c>
      <c r="P4" s="129" t="s">
        <v>14</v>
      </c>
      <c r="Q4" s="129"/>
      <c r="R4" s="129"/>
      <c r="S4" s="129"/>
      <c r="T4" s="129"/>
      <c r="U4" s="129"/>
      <c r="V4" s="129"/>
      <c r="W4" s="133"/>
      <c r="X4" s="129"/>
      <c r="Y4" s="129"/>
      <c r="Z4" s="129"/>
      <c r="AA4" s="129"/>
      <c r="AB4" s="129"/>
      <c r="AC4" s="129"/>
      <c r="AD4" s="129"/>
      <c r="AE4" s="129"/>
      <c r="AF4" s="129"/>
      <c r="AG4" s="129"/>
      <c r="AH4" s="129"/>
      <c r="AI4" s="133"/>
      <c r="AJ4" s="129"/>
      <c r="AK4" s="129"/>
      <c r="AL4" s="129"/>
      <c r="AM4" s="129"/>
      <c r="AN4" s="129"/>
      <c r="AO4" s="129"/>
      <c r="AP4" s="129"/>
      <c r="AQ4" s="129"/>
      <c r="AR4" s="129"/>
      <c r="AS4" s="129"/>
      <c r="AT4" s="129"/>
      <c r="AU4" s="129"/>
      <c r="AV4" s="129"/>
      <c r="AW4" s="129"/>
      <c r="AX4" s="129"/>
      <c r="AY4" s="129"/>
      <c r="AZ4" s="133"/>
      <c r="BA4" s="129"/>
      <c r="BB4" s="129"/>
      <c r="BC4" s="129"/>
      <c r="BD4" s="129"/>
      <c r="BE4" s="129"/>
      <c r="BF4" s="133"/>
      <c r="BG4" s="129"/>
      <c r="BH4" s="129"/>
      <c r="BI4" s="129"/>
      <c r="BJ4" s="129"/>
      <c r="BK4" s="129"/>
      <c r="BL4" s="133"/>
      <c r="BM4" s="129"/>
      <c r="BN4" s="129"/>
      <c r="BO4" s="129"/>
      <c r="BP4" s="133"/>
      <c r="BQ4" s="129"/>
      <c r="BR4" s="134"/>
      <c r="BS4" s="134"/>
      <c r="BT4" s="134"/>
      <c r="BU4" s="134"/>
      <c r="BV4" s="134"/>
      <c r="BW4" s="134"/>
      <c r="BX4" s="134"/>
      <c r="BY4" s="134"/>
      <c r="BZ4" s="134"/>
      <c r="CA4" s="134"/>
      <c r="CB4" s="134"/>
      <c r="CC4" s="134"/>
      <c r="CD4" s="134"/>
      <c r="CE4" s="134"/>
      <c r="CF4" s="134"/>
      <c r="CG4" s="134"/>
      <c r="CH4" s="134"/>
    </row>
    <row r="5" spans="1:88" s="132" customFormat="1" ht="90.75" customHeight="1" x14ac:dyDescent="0.3">
      <c r="A5" s="126" t="s">
        <v>98</v>
      </c>
      <c r="B5" s="149" t="s">
        <v>80</v>
      </c>
      <c r="C5" s="127" t="s">
        <v>94</v>
      </c>
      <c r="D5" s="128" t="s">
        <v>93</v>
      </c>
      <c r="E5" s="129"/>
      <c r="F5" s="130"/>
      <c r="G5" s="130"/>
      <c r="H5" s="130"/>
      <c r="I5" s="82" t="s">
        <v>114</v>
      </c>
      <c r="J5" s="82"/>
      <c r="K5" s="125"/>
      <c r="L5" s="82" t="s">
        <v>115</v>
      </c>
      <c r="M5" s="131" t="s">
        <v>15</v>
      </c>
      <c r="O5" s="129"/>
      <c r="P5" s="129"/>
      <c r="Q5" s="129"/>
      <c r="R5" s="129"/>
      <c r="S5" s="129"/>
      <c r="T5" s="129"/>
      <c r="U5" s="129"/>
      <c r="V5" s="129"/>
      <c r="W5" s="133"/>
      <c r="X5" s="129"/>
      <c r="Y5" s="129"/>
      <c r="Z5" s="129"/>
      <c r="AA5" s="129"/>
      <c r="AB5" s="129"/>
      <c r="AC5" s="129"/>
      <c r="AD5" s="129"/>
      <c r="AE5" s="129"/>
      <c r="AF5" s="129"/>
      <c r="AG5" s="129"/>
      <c r="AH5" s="129"/>
      <c r="AI5" s="133"/>
      <c r="AJ5" s="129"/>
      <c r="AK5" s="129"/>
      <c r="AL5" s="129"/>
      <c r="AM5" s="129"/>
      <c r="AN5" s="129"/>
      <c r="AO5" s="129"/>
      <c r="AP5" s="129"/>
      <c r="AQ5" s="129"/>
      <c r="AR5" s="129"/>
      <c r="AS5" s="129"/>
      <c r="AT5" s="129"/>
      <c r="AU5" s="129"/>
      <c r="AV5" s="129"/>
      <c r="AW5" s="129"/>
      <c r="AX5" s="129"/>
      <c r="AY5" s="129"/>
      <c r="AZ5" s="133"/>
      <c r="BA5" s="129"/>
      <c r="BB5" s="129"/>
      <c r="BC5" s="129"/>
      <c r="BD5" s="129"/>
      <c r="BE5" s="129"/>
      <c r="BF5" s="133"/>
      <c r="BG5" s="129"/>
      <c r="BH5" s="129"/>
      <c r="BI5" s="129"/>
      <c r="BJ5" s="129"/>
      <c r="BK5" s="129"/>
      <c r="BL5" s="133"/>
      <c r="BM5" s="129"/>
      <c r="BN5" s="129"/>
      <c r="BO5" s="129"/>
      <c r="BP5" s="133"/>
      <c r="BQ5" s="129"/>
      <c r="BR5" s="134"/>
      <c r="BS5" s="134"/>
      <c r="BT5" s="134"/>
      <c r="BU5" s="134"/>
      <c r="BV5" s="134"/>
      <c r="BW5" s="134"/>
      <c r="BX5" s="134"/>
      <c r="BY5" s="134"/>
      <c r="BZ5" s="134"/>
      <c r="CA5" s="134"/>
      <c r="CB5" s="134"/>
      <c r="CC5" s="134"/>
      <c r="CD5" s="134"/>
      <c r="CE5" s="134"/>
      <c r="CF5" s="134"/>
      <c r="CG5" s="134"/>
    </row>
    <row r="6" spans="1:88" s="132" customFormat="1" ht="63" customHeight="1" x14ac:dyDescent="0.3">
      <c r="A6" s="126" t="s">
        <v>99</v>
      </c>
      <c r="B6" s="149" t="s">
        <v>81</v>
      </c>
      <c r="C6" s="127" t="s">
        <v>105</v>
      </c>
      <c r="D6" s="135" t="s">
        <v>116</v>
      </c>
      <c r="E6" s="129"/>
      <c r="F6" s="130"/>
      <c r="G6" s="130"/>
      <c r="H6" s="130"/>
      <c r="I6" s="82" t="s">
        <v>117</v>
      </c>
      <c r="J6" s="82"/>
      <c r="K6" s="125"/>
      <c r="L6" s="82" t="s">
        <v>118</v>
      </c>
      <c r="M6" s="131" t="s">
        <v>16</v>
      </c>
      <c r="O6" s="129"/>
      <c r="P6" s="129"/>
      <c r="Q6" s="129"/>
      <c r="R6" s="129"/>
      <c r="S6" s="129"/>
      <c r="T6" s="129"/>
      <c r="U6" s="129"/>
      <c r="V6" s="129"/>
      <c r="W6" s="133"/>
      <c r="X6" s="129"/>
      <c r="Y6" s="129"/>
      <c r="Z6" s="129"/>
      <c r="AA6" s="129"/>
      <c r="AB6" s="129"/>
      <c r="AC6" s="129"/>
      <c r="AD6" s="129"/>
      <c r="AE6" s="129"/>
      <c r="AF6" s="129"/>
      <c r="AG6" s="129"/>
      <c r="AH6" s="129"/>
      <c r="AI6" s="133"/>
      <c r="AJ6" s="129"/>
      <c r="AK6" s="129"/>
      <c r="AL6" s="129"/>
      <c r="AM6" s="129"/>
      <c r="AN6" s="129"/>
      <c r="AO6" s="129"/>
      <c r="AP6" s="129"/>
      <c r="AQ6" s="129"/>
      <c r="AR6" s="129"/>
      <c r="AS6" s="129"/>
      <c r="AT6" s="129"/>
      <c r="AU6" s="129"/>
      <c r="AV6" s="129"/>
      <c r="AW6" s="129"/>
      <c r="AX6" s="129"/>
      <c r="AY6" s="129"/>
      <c r="AZ6" s="133"/>
      <c r="BA6" s="129"/>
      <c r="BB6" s="129"/>
      <c r="BC6" s="129"/>
      <c r="BD6" s="129"/>
      <c r="BE6" s="129"/>
      <c r="BF6" s="133"/>
      <c r="BG6" s="129"/>
      <c r="BH6" s="129"/>
      <c r="BI6" s="129"/>
      <c r="BJ6" s="129"/>
      <c r="BK6" s="129"/>
      <c r="BL6" s="133"/>
      <c r="BM6" s="129"/>
      <c r="BN6" s="129"/>
      <c r="BO6" s="129"/>
      <c r="BP6" s="133"/>
      <c r="BQ6" s="129"/>
      <c r="BR6" s="134"/>
      <c r="BS6" s="134"/>
      <c r="BT6" s="134"/>
      <c r="BU6" s="134"/>
      <c r="BV6" s="134"/>
      <c r="BW6" s="134"/>
      <c r="BX6" s="134"/>
      <c r="BY6" s="134"/>
      <c r="BZ6" s="134"/>
      <c r="CA6" s="134"/>
      <c r="CB6" s="134"/>
      <c r="CC6" s="134"/>
      <c r="CD6" s="134"/>
      <c r="CE6" s="134"/>
      <c r="CF6" s="134"/>
      <c r="CG6" s="134"/>
    </row>
    <row r="7" spans="1:88" s="132" customFormat="1" ht="90" x14ac:dyDescent="0.25">
      <c r="A7" s="126" t="s">
        <v>100</v>
      </c>
      <c r="B7" s="150" t="s">
        <v>82</v>
      </c>
      <c r="C7" s="127" t="s">
        <v>106</v>
      </c>
      <c r="D7" s="136" t="s">
        <v>119</v>
      </c>
      <c r="E7" s="129"/>
      <c r="F7" s="130"/>
      <c r="G7" s="130"/>
      <c r="H7" s="130"/>
      <c r="I7" s="82" t="s">
        <v>120</v>
      </c>
      <c r="J7" s="82"/>
      <c r="K7" s="125"/>
      <c r="L7" s="82" t="s">
        <v>121</v>
      </c>
      <c r="M7" s="131"/>
      <c r="O7" s="129"/>
      <c r="P7" s="129"/>
      <c r="Q7" s="129"/>
      <c r="R7" s="129"/>
      <c r="S7" s="129"/>
      <c r="T7" s="129"/>
      <c r="U7" s="129"/>
      <c r="V7" s="129"/>
      <c r="W7" s="133"/>
      <c r="X7" s="129"/>
      <c r="Y7" s="129"/>
      <c r="Z7" s="129"/>
      <c r="AA7" s="129"/>
      <c r="AB7" s="129"/>
      <c r="AC7" s="129"/>
      <c r="AD7" s="129"/>
      <c r="AE7" s="129"/>
      <c r="AF7" s="129"/>
      <c r="AG7" s="129"/>
      <c r="AH7" s="129"/>
      <c r="AI7" s="133"/>
      <c r="AJ7" s="129"/>
      <c r="AK7" s="129"/>
      <c r="AL7" s="129"/>
      <c r="AM7" s="129"/>
      <c r="AN7" s="129"/>
      <c r="AO7" s="129"/>
      <c r="AP7" s="129"/>
      <c r="AQ7" s="129"/>
      <c r="AR7" s="129"/>
      <c r="AS7" s="129"/>
      <c r="AT7" s="129"/>
      <c r="AU7" s="129"/>
      <c r="AV7" s="129"/>
      <c r="AW7" s="129"/>
      <c r="AX7" s="129"/>
      <c r="AY7" s="129"/>
      <c r="AZ7" s="133"/>
      <c r="BA7" s="129"/>
      <c r="BB7" s="129"/>
      <c r="BC7" s="129"/>
      <c r="BD7" s="129"/>
      <c r="BE7" s="129"/>
      <c r="BF7" s="133"/>
      <c r="BG7" s="129"/>
      <c r="BH7" s="129"/>
      <c r="BI7" s="129"/>
      <c r="BJ7" s="129"/>
      <c r="BK7" s="129"/>
      <c r="BL7" s="133"/>
      <c r="BM7" s="129"/>
      <c r="BN7" s="129"/>
      <c r="BO7" s="129"/>
      <c r="BP7" s="133"/>
      <c r="BQ7" s="129"/>
      <c r="BR7" s="134"/>
      <c r="BS7" s="134"/>
      <c r="BT7" s="134"/>
      <c r="BU7" s="134"/>
      <c r="BV7" s="134"/>
      <c r="BW7" s="134"/>
      <c r="BX7" s="134"/>
      <c r="BY7" s="134"/>
      <c r="BZ7" s="134"/>
      <c r="CA7" s="134"/>
      <c r="CB7" s="134"/>
      <c r="CC7" s="134"/>
      <c r="CD7" s="134"/>
      <c r="CE7" s="134"/>
      <c r="CF7" s="134"/>
      <c r="CG7" s="134"/>
    </row>
    <row r="8" spans="1:88" s="132" customFormat="1" ht="60" x14ac:dyDescent="0.25">
      <c r="A8" s="126" t="s">
        <v>101</v>
      </c>
      <c r="B8" s="150" t="s">
        <v>83</v>
      </c>
      <c r="C8" s="137" t="s">
        <v>107</v>
      </c>
      <c r="D8" s="137" t="s">
        <v>122</v>
      </c>
      <c r="E8" s="138"/>
      <c r="F8" s="130"/>
      <c r="G8" s="130"/>
      <c r="H8" s="130"/>
      <c r="I8" s="82" t="s">
        <v>123</v>
      </c>
      <c r="J8" s="139"/>
      <c r="K8" s="82"/>
      <c r="L8" s="82" t="s">
        <v>124</v>
      </c>
      <c r="M8" s="131"/>
      <c r="O8" s="129"/>
      <c r="P8" s="129"/>
      <c r="Q8" s="129"/>
      <c r="R8" s="129"/>
      <c r="S8" s="129"/>
      <c r="T8" s="129"/>
      <c r="U8" s="129"/>
      <c r="V8" s="129"/>
      <c r="W8" s="133"/>
      <c r="X8" s="129"/>
      <c r="Y8" s="129"/>
      <c r="Z8" s="129"/>
      <c r="AA8" s="129"/>
      <c r="AB8" s="129"/>
      <c r="AC8" s="129"/>
      <c r="AD8" s="129"/>
      <c r="AE8" s="129"/>
      <c r="AF8" s="129"/>
      <c r="AG8" s="129"/>
      <c r="AH8" s="129"/>
      <c r="AI8" s="133"/>
      <c r="AJ8" s="129"/>
      <c r="AK8" s="129"/>
      <c r="AL8" s="129"/>
      <c r="AM8" s="129"/>
      <c r="AN8" s="129"/>
      <c r="AO8" s="129"/>
      <c r="AP8" s="129"/>
      <c r="AQ8" s="129"/>
      <c r="AR8" s="129"/>
      <c r="AS8" s="129"/>
      <c r="AT8" s="129"/>
      <c r="AU8" s="129"/>
      <c r="AV8" s="129"/>
      <c r="AW8" s="129"/>
      <c r="AX8" s="129"/>
      <c r="AY8" s="129"/>
      <c r="AZ8" s="133"/>
      <c r="BA8" s="129"/>
      <c r="BB8" s="129"/>
      <c r="BC8" s="129"/>
      <c r="BD8" s="129"/>
      <c r="BE8" s="129"/>
      <c r="BF8" s="133"/>
      <c r="BG8" s="129"/>
      <c r="BH8" s="129"/>
      <c r="BI8" s="129"/>
      <c r="BJ8" s="129"/>
      <c r="BK8" s="129"/>
      <c r="BL8" s="133"/>
      <c r="BM8" s="129"/>
      <c r="BN8" s="129"/>
      <c r="BO8" s="129"/>
      <c r="BP8" s="133"/>
      <c r="BQ8" s="129"/>
      <c r="BR8" s="134"/>
      <c r="BS8" s="134"/>
      <c r="BT8" s="134"/>
      <c r="BU8" s="134"/>
      <c r="BV8" s="134"/>
      <c r="BW8" s="134"/>
      <c r="BX8" s="134"/>
      <c r="BY8" s="134"/>
      <c r="BZ8" s="134"/>
      <c r="CA8" s="134"/>
      <c r="CB8" s="134"/>
      <c r="CC8" s="134"/>
      <c r="CD8" s="134"/>
      <c r="CE8" s="134"/>
      <c r="CF8" s="134"/>
      <c r="CG8" s="134"/>
    </row>
    <row r="9" spans="1:88" s="132" customFormat="1" ht="60" x14ac:dyDescent="0.25">
      <c r="A9" s="126" t="s">
        <v>102</v>
      </c>
      <c r="B9" s="150" t="s">
        <v>84</v>
      </c>
      <c r="C9" s="137" t="s">
        <v>108</v>
      </c>
      <c r="D9" s="137" t="s">
        <v>125</v>
      </c>
      <c r="E9" s="138"/>
      <c r="F9" s="130"/>
      <c r="G9" s="130"/>
      <c r="H9" s="130"/>
      <c r="I9" s="82" t="s">
        <v>126</v>
      </c>
      <c r="J9" s="139"/>
      <c r="K9" s="82"/>
      <c r="L9" s="82" t="s">
        <v>127</v>
      </c>
      <c r="M9" s="131"/>
      <c r="O9" s="129"/>
      <c r="P9" s="129"/>
      <c r="Q9" s="129"/>
      <c r="R9" s="129"/>
      <c r="S9" s="129"/>
      <c r="T9" s="129"/>
      <c r="U9" s="129"/>
      <c r="V9" s="129"/>
      <c r="W9" s="133"/>
      <c r="X9" s="129"/>
      <c r="Y9" s="129"/>
      <c r="Z9" s="129"/>
      <c r="AA9" s="129"/>
      <c r="AB9" s="129"/>
      <c r="AC9" s="129"/>
      <c r="AD9" s="129"/>
      <c r="AE9" s="129"/>
      <c r="AF9" s="129"/>
      <c r="AG9" s="129"/>
      <c r="AH9" s="129"/>
      <c r="AI9" s="133"/>
      <c r="AJ9" s="129"/>
      <c r="AK9" s="129"/>
      <c r="AL9" s="129"/>
      <c r="AM9" s="129"/>
      <c r="AN9" s="129"/>
      <c r="AO9" s="129"/>
      <c r="AP9" s="129"/>
      <c r="AQ9" s="129"/>
      <c r="AR9" s="129"/>
      <c r="AS9" s="129"/>
      <c r="AT9" s="129"/>
      <c r="AU9" s="129"/>
      <c r="AV9" s="129"/>
      <c r="AW9" s="129"/>
      <c r="AX9" s="129"/>
      <c r="AY9" s="129"/>
      <c r="AZ9" s="133"/>
      <c r="BA9" s="129"/>
      <c r="BB9" s="129"/>
      <c r="BC9" s="129"/>
      <c r="BD9" s="129"/>
      <c r="BE9" s="129"/>
      <c r="BF9" s="133"/>
      <c r="BG9" s="129"/>
      <c r="BH9" s="129"/>
      <c r="BI9" s="129"/>
      <c r="BJ9" s="129"/>
      <c r="BK9" s="129"/>
      <c r="BL9" s="133"/>
      <c r="BM9" s="129"/>
      <c r="BN9" s="129"/>
      <c r="BO9" s="129"/>
      <c r="BP9" s="133"/>
      <c r="BQ9" s="129"/>
      <c r="BR9" s="134"/>
      <c r="BS9" s="134"/>
      <c r="BT9" s="134"/>
      <c r="BU9" s="134"/>
      <c r="BV9" s="134"/>
      <c r="BW9" s="134"/>
      <c r="BX9" s="134"/>
      <c r="BY9" s="134"/>
      <c r="BZ9" s="134"/>
      <c r="CA9" s="134"/>
      <c r="CB9" s="134"/>
      <c r="CC9" s="134"/>
      <c r="CD9" s="134"/>
      <c r="CE9" s="134"/>
      <c r="CF9" s="134"/>
      <c r="CG9" s="134"/>
    </row>
    <row r="10" spans="1:88" s="132" customFormat="1" ht="60" x14ac:dyDescent="0.25">
      <c r="A10" s="126" t="s">
        <v>103</v>
      </c>
      <c r="B10" s="151" t="s">
        <v>85</v>
      </c>
      <c r="C10" s="148" t="s">
        <v>109</v>
      </c>
      <c r="D10" s="137" t="s">
        <v>128</v>
      </c>
      <c r="E10" s="140"/>
      <c r="F10" s="141"/>
      <c r="G10" s="141"/>
      <c r="H10" s="141"/>
      <c r="I10" s="142" t="s">
        <v>129</v>
      </c>
      <c r="J10" s="143"/>
      <c r="K10" s="142"/>
      <c r="L10" s="142" t="s">
        <v>130</v>
      </c>
      <c r="M10" s="144" t="s">
        <v>17</v>
      </c>
      <c r="O10" s="145"/>
      <c r="P10" s="145"/>
      <c r="Q10" s="145"/>
      <c r="R10" s="145"/>
      <c r="S10" s="145"/>
      <c r="T10" s="145"/>
      <c r="U10" s="145"/>
      <c r="V10" s="145"/>
      <c r="W10" s="146"/>
      <c r="X10" s="145"/>
      <c r="Y10" s="145"/>
      <c r="Z10" s="145"/>
      <c r="AA10" s="145"/>
      <c r="AB10" s="145"/>
      <c r="AC10" s="145"/>
      <c r="AD10" s="145"/>
      <c r="AE10" s="145"/>
      <c r="AF10" s="145"/>
      <c r="AG10" s="145"/>
      <c r="AH10" s="145"/>
      <c r="AI10" s="146"/>
      <c r="AJ10" s="145"/>
      <c r="AK10" s="145"/>
      <c r="AL10" s="145"/>
      <c r="AM10" s="145"/>
      <c r="AN10" s="145"/>
      <c r="AO10" s="145"/>
      <c r="AP10" s="145"/>
      <c r="AQ10" s="145"/>
      <c r="AR10" s="145"/>
      <c r="AS10" s="145"/>
      <c r="AT10" s="145"/>
      <c r="AU10" s="145"/>
      <c r="AV10" s="145"/>
      <c r="AW10" s="145"/>
      <c r="AX10" s="145"/>
      <c r="AY10" s="145"/>
      <c r="AZ10" s="146"/>
      <c r="BA10" s="145"/>
      <c r="BB10" s="145"/>
      <c r="BC10" s="145"/>
      <c r="BD10" s="145"/>
      <c r="BE10" s="145"/>
      <c r="BF10" s="146"/>
      <c r="BG10" s="145"/>
      <c r="BH10" s="145"/>
      <c r="BI10" s="145"/>
      <c r="BJ10" s="145"/>
      <c r="BK10" s="145"/>
      <c r="BL10" s="146"/>
      <c r="BM10" s="145"/>
      <c r="BN10" s="145"/>
      <c r="BO10" s="145"/>
      <c r="BP10" s="146"/>
      <c r="BQ10" s="145"/>
      <c r="BR10" s="147"/>
      <c r="BS10" s="147"/>
      <c r="BT10" s="147"/>
      <c r="BU10" s="147"/>
      <c r="BV10" s="147"/>
      <c r="BW10" s="147"/>
      <c r="BX10" s="147"/>
      <c r="BY10" s="147"/>
      <c r="BZ10" s="147"/>
      <c r="CA10" s="147"/>
      <c r="CB10" s="147"/>
      <c r="CC10" s="147"/>
      <c r="CD10" s="147"/>
      <c r="CE10" s="147"/>
      <c r="CF10" s="147"/>
      <c r="CG10" s="147"/>
      <c r="CJ10" s="132" t="s">
        <v>18</v>
      </c>
    </row>
  </sheetData>
  <phoneticPr fontId="42" type="noConversion"/>
  <conditionalFormatting sqref="M2:M10">
    <cfRule type="cellIs" dxfId="59" priority="760" stopIfTrue="1" operator="equal">
      <formula>"OK"</formula>
    </cfRule>
    <cfRule type="cellIs" dxfId="58" priority="761" stopIfTrue="1" operator="equal">
      <formula>"NO OK"</formula>
    </cfRule>
    <cfRule type="cellIs" dxfId="57" priority="762" stopIfTrue="1" operator="equal">
      <formula>"PDTE"</formula>
    </cfRule>
  </conditionalFormatting>
  <conditionalFormatting sqref="AI2:AI10 W2:W10 AZ2:AZ10 BF2:BF10">
    <cfRule type="cellIs" dxfId="56" priority="808" stopIfTrue="1" operator="equal">
      <formula>"OK"</formula>
    </cfRule>
    <cfRule type="cellIs" dxfId="55" priority="809" stopIfTrue="1" operator="equal">
      <formula>"NO OK"</formula>
    </cfRule>
    <cfRule type="cellIs" dxfId="54" priority="810" stopIfTrue="1" operator="equal">
      <formula>"PDTE"</formula>
    </cfRule>
  </conditionalFormatting>
  <conditionalFormatting sqref="M2:M10">
    <cfRule type="cellIs" dxfId="53" priority="727" operator="equal">
      <formula>"OK"</formula>
    </cfRule>
  </conditionalFormatting>
  <conditionalFormatting sqref="M2:M10">
    <cfRule type="cellIs" dxfId="52" priority="728" operator="equal">
      <formula>"NO OK"</formula>
    </cfRule>
  </conditionalFormatting>
  <conditionalFormatting sqref="M2:M10">
    <cfRule type="cellIs" dxfId="51" priority="729" operator="equal">
      <formula>"PDTE"</formula>
    </cfRule>
  </conditionalFormatting>
  <conditionalFormatting sqref="M6:M9">
    <cfRule type="cellIs" dxfId="50" priority="211" operator="equal">
      <formula>"OK"</formula>
    </cfRule>
  </conditionalFormatting>
  <conditionalFormatting sqref="M6:M9">
    <cfRule type="cellIs" dxfId="49" priority="212" operator="equal">
      <formula>"NO OK"</formula>
    </cfRule>
  </conditionalFormatting>
  <conditionalFormatting sqref="M6:M9">
    <cfRule type="cellIs" dxfId="48" priority="213" operator="equal">
      <formula>"PDTE"</formula>
    </cfRule>
  </conditionalFormatting>
  <conditionalFormatting sqref="M5">
    <cfRule type="cellIs" dxfId="47" priority="214" operator="equal">
      <formula>"OK"</formula>
    </cfRule>
  </conditionalFormatting>
  <conditionalFormatting sqref="M5">
    <cfRule type="cellIs" dxfId="46" priority="215" operator="equal">
      <formula>"NO OK"</formula>
    </cfRule>
  </conditionalFormatting>
  <conditionalFormatting sqref="M5">
    <cfRule type="cellIs" dxfId="45" priority="216" operator="equal">
      <formula>"PDTE"</formula>
    </cfRule>
  </conditionalFormatting>
  <conditionalFormatting sqref="C2:C4">
    <cfRule type="cellIs" dxfId="44" priority="82" operator="equal">
      <formula>"OK"</formula>
    </cfRule>
  </conditionalFormatting>
  <conditionalFormatting sqref="C2:C4">
    <cfRule type="cellIs" dxfId="43" priority="83" operator="equal">
      <formula>"NO OK"</formula>
    </cfRule>
  </conditionalFormatting>
  <conditionalFormatting sqref="C2:C4">
    <cfRule type="cellIs" dxfId="42" priority="84" operator="equal">
      <formula>"PDTE"</formula>
    </cfRule>
  </conditionalFormatting>
  <conditionalFormatting sqref="D2:D4">
    <cfRule type="cellIs" dxfId="41" priority="79" operator="equal">
      <formula>"OK"</formula>
    </cfRule>
  </conditionalFormatting>
  <conditionalFormatting sqref="D2:D4">
    <cfRule type="cellIs" dxfId="40" priority="80" operator="equal">
      <formula>"NO OK"</formula>
    </cfRule>
  </conditionalFormatting>
  <conditionalFormatting sqref="D2:D4">
    <cfRule type="cellIs" dxfId="39" priority="81" operator="equal">
      <formula>"PDTE"</formula>
    </cfRule>
  </conditionalFormatting>
  <conditionalFormatting sqref="C7">
    <cfRule type="cellIs" dxfId="38" priority="76" operator="equal">
      <formula>"OK"</formula>
    </cfRule>
  </conditionalFormatting>
  <conditionalFormatting sqref="C7">
    <cfRule type="cellIs" dxfId="37" priority="77" operator="equal">
      <formula>"NO OK"</formula>
    </cfRule>
  </conditionalFormatting>
  <conditionalFormatting sqref="C7">
    <cfRule type="cellIs" dxfId="36" priority="78" operator="equal">
      <formula>"PDTE"</formula>
    </cfRule>
  </conditionalFormatting>
  <conditionalFormatting sqref="M2:M10">
    <cfRule type="cellIs" dxfId="35" priority="73" operator="equal">
      <formula>"OK"</formula>
    </cfRule>
  </conditionalFormatting>
  <conditionalFormatting sqref="M2:M10">
    <cfRule type="cellIs" dxfId="34" priority="74" operator="equal">
      <formula>"NO OK"</formula>
    </cfRule>
  </conditionalFormatting>
  <conditionalFormatting sqref="M2:M10">
    <cfRule type="cellIs" dxfId="33" priority="75" operator="equal">
      <formula>"PDTE"</formula>
    </cfRule>
  </conditionalFormatting>
  <conditionalFormatting sqref="M2:M10">
    <cfRule type="cellIs" dxfId="32" priority="70" operator="equal">
      <formula>"OK"</formula>
    </cfRule>
  </conditionalFormatting>
  <conditionalFormatting sqref="M2:M10">
    <cfRule type="cellIs" dxfId="31" priority="71" operator="equal">
      <formula>"NO OK"</formula>
    </cfRule>
  </conditionalFormatting>
  <conditionalFormatting sqref="M2:M10">
    <cfRule type="cellIs" dxfId="30" priority="72" operator="equal">
      <formula>"PDTE"</formula>
    </cfRule>
  </conditionalFormatting>
  <conditionalFormatting sqref="M6:M9">
    <cfRule type="cellIs" dxfId="29" priority="67" operator="equal">
      <formula>"OK"</formula>
    </cfRule>
  </conditionalFormatting>
  <conditionalFormatting sqref="M6:M9">
    <cfRule type="cellIs" dxfId="28" priority="68" operator="equal">
      <formula>"NO OK"</formula>
    </cfRule>
  </conditionalFormatting>
  <conditionalFormatting sqref="M6:M9">
    <cfRule type="cellIs" dxfId="27" priority="69" operator="equal">
      <formula>"PDTE"</formula>
    </cfRule>
  </conditionalFormatting>
  <conditionalFormatting sqref="M10">
    <cfRule type="cellIs" dxfId="26" priority="64" operator="equal">
      <formula>"OK"</formula>
    </cfRule>
  </conditionalFormatting>
  <conditionalFormatting sqref="M10">
    <cfRule type="cellIs" dxfId="25" priority="65" operator="equal">
      <formula>"NO OK"</formula>
    </cfRule>
  </conditionalFormatting>
  <conditionalFormatting sqref="M10">
    <cfRule type="cellIs" dxfId="24" priority="66" operator="equal">
      <formula>"PDTE"</formula>
    </cfRule>
  </conditionalFormatting>
  <conditionalFormatting sqref="C6:C9">
    <cfRule type="cellIs" dxfId="23" priority="61" operator="equal">
      <formula>"OK"</formula>
    </cfRule>
  </conditionalFormatting>
  <conditionalFormatting sqref="C6:C9">
    <cfRule type="cellIs" dxfId="22" priority="62" operator="equal">
      <formula>"NO OK"</formula>
    </cfRule>
  </conditionalFormatting>
  <conditionalFormatting sqref="C6:C9">
    <cfRule type="cellIs" dxfId="21" priority="63" operator="equal">
      <formula>"PDTE"</formula>
    </cfRule>
  </conditionalFormatting>
  <conditionalFormatting sqref="C5">
    <cfRule type="cellIs" dxfId="20" priority="52" operator="equal">
      <formula>"OK"</formula>
    </cfRule>
  </conditionalFormatting>
  <conditionalFormatting sqref="C5">
    <cfRule type="cellIs" dxfId="19" priority="53" operator="equal">
      <formula>"NO OK"</formula>
    </cfRule>
  </conditionalFormatting>
  <conditionalFormatting sqref="C5">
    <cfRule type="cellIs" dxfId="18" priority="54" operator="equal">
      <formula>"PDTE"</formula>
    </cfRule>
  </conditionalFormatting>
  <conditionalFormatting sqref="D5">
    <cfRule type="cellIs" dxfId="17" priority="49" operator="equal">
      <formula>"OK"</formula>
    </cfRule>
  </conditionalFormatting>
  <conditionalFormatting sqref="D5">
    <cfRule type="cellIs" dxfId="16" priority="50" operator="equal">
      <formula>"NO OK"</formula>
    </cfRule>
  </conditionalFormatting>
  <conditionalFormatting sqref="D5">
    <cfRule type="cellIs" dxfId="15" priority="51" operator="equal">
      <formula>"PDTE"</formula>
    </cfRule>
  </conditionalFormatting>
  <conditionalFormatting sqref="B7">
    <cfRule type="cellIs" dxfId="14" priority="43" operator="equal">
      <formula>"OK"</formula>
    </cfRule>
  </conditionalFormatting>
  <conditionalFormatting sqref="B7">
    <cfRule type="cellIs" dxfId="13" priority="44" operator="equal">
      <formula>"NO OK"</formula>
    </cfRule>
  </conditionalFormatting>
  <conditionalFormatting sqref="B7">
    <cfRule type="cellIs" dxfId="12" priority="45" operator="equal">
      <formula>"PDTE"</formula>
    </cfRule>
  </conditionalFormatting>
  <conditionalFormatting sqref="B8">
    <cfRule type="cellIs" dxfId="11" priority="40" operator="equal">
      <formula>"OK"</formula>
    </cfRule>
  </conditionalFormatting>
  <conditionalFormatting sqref="B8">
    <cfRule type="cellIs" dxfId="10" priority="41" operator="equal">
      <formula>"NO OK"</formula>
    </cfRule>
  </conditionalFormatting>
  <conditionalFormatting sqref="B8">
    <cfRule type="cellIs" dxfId="9" priority="42" operator="equal">
      <formula>"PDTE"</formula>
    </cfRule>
  </conditionalFormatting>
  <conditionalFormatting sqref="B9">
    <cfRule type="cellIs" dxfId="8" priority="37" operator="equal">
      <formula>"OK"</formula>
    </cfRule>
  </conditionalFormatting>
  <conditionalFormatting sqref="B9">
    <cfRule type="cellIs" dxfId="7" priority="38" operator="equal">
      <formula>"NO OK"</formula>
    </cfRule>
  </conditionalFormatting>
  <conditionalFormatting sqref="B9">
    <cfRule type="cellIs" dxfId="6" priority="39" operator="equal">
      <formula>"PDTE"</formula>
    </cfRule>
  </conditionalFormatting>
  <conditionalFormatting sqref="B10">
    <cfRule type="cellIs" dxfId="5" priority="4" operator="equal">
      <formula>"OK"</formula>
    </cfRule>
  </conditionalFormatting>
  <conditionalFormatting sqref="B10">
    <cfRule type="cellIs" dxfId="4" priority="5" operator="equal">
      <formula>"NO OK"</formula>
    </cfRule>
  </conditionalFormatting>
  <conditionalFormatting sqref="B10">
    <cfRule type="cellIs" dxfId="3" priority="6" operator="equal">
      <formula>"PDTE"</formula>
    </cfRule>
  </conditionalFormatting>
  <conditionalFormatting sqref="C10">
    <cfRule type="cellIs" dxfId="2" priority="1" operator="equal">
      <formula>"OK"</formula>
    </cfRule>
  </conditionalFormatting>
  <conditionalFormatting sqref="C10">
    <cfRule type="cellIs" dxfId="1" priority="2" operator="equal">
      <formula>"NO OK"</formula>
    </cfRule>
  </conditionalFormatting>
  <conditionalFormatting sqref="C10">
    <cfRule type="cellIs" dxfId="0" priority="3" operator="equal">
      <formula>"PDTE"</formula>
    </cfRule>
  </conditionalFormatting>
  <dataValidations count="4">
    <dataValidation type="list" allowBlank="1" showErrorMessage="1" error="Valor no válido, seleccione un valor de la lista" sqref="BF64887:BF64912 BF982391:BF982416 BF916855:BF916880 BF851319:BF851344 BF785783:BF785808 BF720247:BF720272 BF654711:BF654736 BF589175:BF589200 BF523639:BF523664 BF458103:BF458128 BF392567:BF392592 BF327031:BF327056 BF261495:BF261520 BF195959:BF195984 BF130423:BF130448">
      <formula1>#REF!</formula1>
    </dataValidation>
    <dataValidation type="list" allowBlank="1" showErrorMessage="1" error="Valor no válido, seleccione un valor de la lista" sqref="BK64888:BK64914 BF130449:BJ130449 BF195985:BJ195985 BF261521:BJ261521 BF327057:BJ327057 BF392593:BJ392593 BF458129:BJ458129 BF523665:BJ523665 BF589201:BJ589201 BF654737:BJ654737 BF720273:BJ720273 BF785809:BJ785809 BF851345:BJ851345 BF916881:BJ916881 BF982417:BJ982417 BG64887:BJ64912 BG130423:BJ130448 BG195959:BJ195984 BG261495:BJ261520 BG327031:BJ327056 BG392567:BJ392592 BG458103:BJ458128 BG523639:BJ523664 BG589175:BJ589200 BG654711:BJ654736 BG720247:BJ720272 BG785783:BJ785808 BG851319:BJ851344 BG916855:BJ916880 BG982391:BJ982416 BF64913:BJ64913 BK130424:BK130450 BK195960:BK195986 BK261496:BK261522 BK327032:BK327058 BK392568:BK392594 BK458104:BK458130 BK523640:BK523666 BK589176:BK589202 BK654712:BK654738 BK720248:BK720274 BK785784:BK785810 BK851320:BK851346 BK916856:BK916882 BK982392:BK982418 BL64887:BL64913 BL130423:BL130449 BL195959:BL195985 BL261495:BL261521 BL327031:BL327057 BL392567:BL392593 BL458103:BL458129 BL523639:BL523665 BL589175:BL589201 BL654711:BL654737 BL720247:BL720273 BL785783:BL785809 BL851319:BL851345 BL916855:BL916881 BL982391:BL982417 BM982392:BO982418 BM64888:BO64914 BM130424:BO130450 BM195960:BO195986 BM261496:BO261522 BM327032:BO327058 BM392568:BO392594 BM458104:BO458130 BM523640:BO523666 BM589176:BO589202 BM654712:BO654738 BM720248:BO720274 BM785784:BO785810 BM851320:BO851346 BM916856:BO916882 BP720247:BP720273 BP654711:BP654737 BP589175:BP589201 BP523639:BP523665 BP458103:BP458129 BP392567:BP392593 BP327031:BP327057 BP261495:BP261521 BP195959:BP195985 BP130423:BP130449 BP64887:BP64913 BP982391:BP982417 BP916855:BP916881 BP851319:BP851345 BP785783:BP785809 BQ916856:BQ916882 BQ982392:BQ982418 BQ64888:BQ64914 BQ130424:BQ130450 BQ195960:BQ195986 BQ261496:BQ261522 BQ327032:BQ327058 BQ392568:BQ392594 BQ458104:BQ458130 BQ523640:BQ523666 BQ589176:BQ589202 BQ654712:BQ654738 BQ720248:BQ720274 BQ785784:BQ785810 BQ851320:BQ851346 BR916855:CG916881 BR982391:CG982417 BR64887:CG64913 BR130423:CG130449 BR195959:CG195985 BR261495:CG261521 BR327031:CG327057 BR392567:CG392593 BR458103:CG458129 BR523639:CG523665 BR589175:CG589201 BR654711:CG654737 BR720247:CG720273 BR785783:CG785809 BR851319:CG851345 O64887:BE64913 O982391:BE982417 O916855:BE916881 O851319:BE851345 O785783:BE785809 O720247:BE720273 O654711:BE654737 O589175:BE589201 O523639:BE523665 O458103:BE458129 O392567:BE392593 O327031:BE327057 O261495:BE261521 O195959:BE195985 O130423:BE130449 M64999 N64913 M130535 N130449 M196071 N195985 M261607 N261521 M327143 N327057 M392679 N392593 M458215 N458129 M523751 N523665 M589287 N589201 M654823 N654737 M720359 N720273 M785895 N785809 M851431 N851345 M916967 N916881 M982503 N982417">
      <formula1>#REF!</formula1>
      <formula2>0</formula2>
    </dataValidation>
    <dataValidation type="list" allowBlank="1" showInputMessage="1" showErrorMessage="1" error="Valor no válido, seleccione un valor de la lista" sqref="N64887:N64912 M130509:M130534 N130423:N130448 M196045:M196070 N195959:N195984 M261581:M261606 N261495:N261520 M327117:M327142 N327031:N327056 M392653:M392678 N392567:N392592 M458189:M458214 N458103:N458128 M523725:M523750 N523639:N523664 M589261:M589286 N589175:N589200 M654797:M654822 N654711:N654736 M720333:M720358 N720247:N720272 M785869:M785894 N785783:N785808 M851405:M851430 N851319:N851344 M916941:M916966 N916855:N916880 M982477:M982502 N982391:N982416 M64973:M64998">
      <formula1>#REF!</formula1>
    </dataValidation>
    <dataValidation type="list" allowBlank="1" showInputMessage="1" showErrorMessage="1" sqref="CH2:CH4 BL2:BL10 BR2:CG10 O2:BJ10 BP2:BP10">
      <formula1>#REF!</formula1>
    </dataValidation>
  </dataValidations>
  <pageMargins left="0.7" right="0.7" top="0.75" bottom="0.75" header="0.3" footer="0.3"/>
  <pageSetup paperSize="9" orientation="portrait" r:id="rId1"/>
  <ignoredErrors>
    <ignoredError sqref="W1 AI1" formula="1"/>
  </ignoredErrors>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Parametro!$A$3:$A$7</xm:f>
          </x14:formula1>
          <xm:sqref>M2:M10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3:B14"/>
  <sheetViews>
    <sheetView workbookViewId="0">
      <selection activeCell="I14" sqref="I14"/>
    </sheetView>
  </sheetViews>
  <sheetFormatPr baseColWidth="10" defaultColWidth="11.42578125" defaultRowHeight="15" x14ac:dyDescent="0.25"/>
  <cols>
    <col min="1" max="1" width="16.42578125" bestFit="1" customWidth="1"/>
    <col min="2" max="2" width="19.7109375" bestFit="1" customWidth="1"/>
  </cols>
  <sheetData>
    <row r="3" spans="1:2" x14ac:dyDescent="0.25">
      <c r="A3" s="15" t="s">
        <v>19</v>
      </c>
      <c r="B3" t="s">
        <v>20</v>
      </c>
    </row>
    <row r="4" spans="1:2" x14ac:dyDescent="0.25">
      <c r="A4" s="83" t="s">
        <v>21</v>
      </c>
      <c r="B4">
        <v>11</v>
      </c>
    </row>
    <row r="5" spans="1:2" x14ac:dyDescent="0.25">
      <c r="A5" s="124" t="s">
        <v>16</v>
      </c>
      <c r="B5">
        <v>11</v>
      </c>
    </row>
    <row r="6" spans="1:2" x14ac:dyDescent="0.25">
      <c r="A6" s="83" t="s">
        <v>22</v>
      </c>
      <c r="B6">
        <v>26</v>
      </c>
    </row>
    <row r="7" spans="1:2" x14ac:dyDescent="0.25">
      <c r="A7" s="124" t="s">
        <v>16</v>
      </c>
      <c r="B7">
        <v>26</v>
      </c>
    </row>
    <row r="8" spans="1:2" x14ac:dyDescent="0.25">
      <c r="A8" s="83" t="s">
        <v>23</v>
      </c>
      <c r="B8">
        <v>29</v>
      </c>
    </row>
    <row r="9" spans="1:2" x14ac:dyDescent="0.25">
      <c r="A9" s="124" t="s">
        <v>16</v>
      </c>
      <c r="B9">
        <v>29</v>
      </c>
    </row>
    <row r="10" spans="1:2" x14ac:dyDescent="0.25">
      <c r="A10" s="83" t="s">
        <v>24</v>
      </c>
      <c r="B10">
        <v>9</v>
      </c>
    </row>
    <row r="11" spans="1:2" x14ac:dyDescent="0.25">
      <c r="A11" s="124" t="s">
        <v>16</v>
      </c>
      <c r="B11">
        <v>9</v>
      </c>
    </row>
    <row r="12" spans="1:2" x14ac:dyDescent="0.25">
      <c r="A12" s="83" t="s">
        <v>25</v>
      </c>
      <c r="B12">
        <v>30</v>
      </c>
    </row>
    <row r="13" spans="1:2" x14ac:dyDescent="0.25">
      <c r="A13" s="124" t="s">
        <v>16</v>
      </c>
      <c r="B13">
        <v>30</v>
      </c>
    </row>
    <row r="14" spans="1:2" x14ac:dyDescent="0.25">
      <c r="A14" s="83" t="s">
        <v>26</v>
      </c>
      <c r="B14">
        <v>105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2:A7"/>
  <sheetViews>
    <sheetView workbookViewId="0">
      <selection activeCell="C25" sqref="C25"/>
    </sheetView>
  </sheetViews>
  <sheetFormatPr baseColWidth="10" defaultColWidth="11.42578125" defaultRowHeight="15" x14ac:dyDescent="0.25"/>
  <cols>
    <col min="1" max="1" width="11.28515625" customWidth="1"/>
  </cols>
  <sheetData>
    <row r="2" spans="1:1" x14ac:dyDescent="0.25">
      <c r="A2" t="s">
        <v>27</v>
      </c>
    </row>
    <row r="3" spans="1:1" x14ac:dyDescent="0.25">
      <c r="A3" t="s">
        <v>14</v>
      </c>
    </row>
    <row r="4" spans="1:1" x14ac:dyDescent="0.25">
      <c r="A4" t="s">
        <v>15</v>
      </c>
    </row>
    <row r="5" spans="1:1" x14ac:dyDescent="0.25">
      <c r="A5" t="s">
        <v>17</v>
      </c>
    </row>
    <row r="6" spans="1:1" x14ac:dyDescent="0.25">
      <c r="A6" t="s">
        <v>28</v>
      </c>
    </row>
    <row r="7" spans="1:1" x14ac:dyDescent="0.25">
      <c r="A7" t="s">
        <v>16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G53"/>
  <sheetViews>
    <sheetView showGridLines="0" workbookViewId="0">
      <selection activeCell="G7" sqref="G7"/>
    </sheetView>
  </sheetViews>
  <sheetFormatPr baseColWidth="10" defaultColWidth="11.42578125" defaultRowHeight="15" x14ac:dyDescent="0.25"/>
  <cols>
    <col min="1" max="1" width="9.42578125" bestFit="1" customWidth="1"/>
    <col min="2" max="2" width="17.42578125" bestFit="1" customWidth="1"/>
    <col min="3" max="3" width="20.42578125" bestFit="1" customWidth="1"/>
    <col min="4" max="4" width="12.42578125" customWidth="1"/>
    <col min="5" max="5" width="5.42578125" bestFit="1" customWidth="1"/>
    <col min="6" max="6" width="17.42578125" customWidth="1"/>
    <col min="7" max="7" width="17" customWidth="1"/>
    <col min="8" max="8" width="5.42578125" bestFit="1" customWidth="1"/>
    <col min="9" max="9" width="12.85546875" bestFit="1" customWidth="1"/>
    <col min="10" max="10" width="12" bestFit="1" customWidth="1"/>
    <col min="11" max="11" width="15" bestFit="1" customWidth="1"/>
    <col min="12" max="12" width="7.42578125" bestFit="1" customWidth="1"/>
    <col min="13" max="13" width="10.42578125" bestFit="1" customWidth="1"/>
    <col min="14" max="14" width="12.42578125" bestFit="1" customWidth="1"/>
    <col min="15" max="15" width="7.42578125" bestFit="1" customWidth="1"/>
    <col min="16" max="16" width="10.42578125" bestFit="1" customWidth="1"/>
    <col min="17" max="17" width="12.42578125" bestFit="1" customWidth="1"/>
  </cols>
  <sheetData>
    <row r="1" spans="1:7" x14ac:dyDescent="0.25">
      <c r="B1" s="15" t="s">
        <v>29</v>
      </c>
      <c r="C1" t="s">
        <v>30</v>
      </c>
    </row>
    <row r="3" spans="1:7" x14ac:dyDescent="0.25">
      <c r="A3" s="25" t="s">
        <v>31</v>
      </c>
      <c r="B3" s="15" t="s">
        <v>19</v>
      </c>
      <c r="C3" s="76" t="s">
        <v>6</v>
      </c>
      <c r="D3" s="76" t="s">
        <v>29</v>
      </c>
      <c r="F3" s="77" t="s">
        <v>32</v>
      </c>
      <c r="G3" s="77" t="s">
        <v>33</v>
      </c>
    </row>
    <row r="4" spans="1:7" x14ac:dyDescent="0.25">
      <c r="A4" s="9">
        <f>IF(B4="","",1)</f>
        <v>1</v>
      </c>
      <c r="B4" s="83" t="s">
        <v>34</v>
      </c>
      <c r="C4" s="9" t="e">
        <f>IF(B4="","",VLOOKUP(B4,'Iteraciones Ciclo 2'!$E$1:$H$9,3,FALSE))</f>
        <v>#N/A</v>
      </c>
      <c r="D4" s="9" t="e">
        <f>IF(B4="","",VLOOKUP(B4,'Iteraciones Ciclo 2'!$E$1:$H$9,5,FALSE))</f>
        <v>#N/A</v>
      </c>
      <c r="F4" s="78" t="s">
        <v>35</v>
      </c>
      <c r="G4" s="79" t="e">
        <f>'Iteraciones Ciclo 2'!#REF!</f>
        <v>#REF!</v>
      </c>
    </row>
    <row r="5" spans="1:7" x14ac:dyDescent="0.25">
      <c r="A5" s="9">
        <f>IF(B5="","",A4+1)</f>
        <v>2</v>
      </c>
      <c r="B5" s="83">
        <v>9480</v>
      </c>
      <c r="C5" s="9" t="e">
        <f>IF(B5="","",VLOOKUP(B5,'Iteraciones Ciclo 2'!$E$1:$H$9,3,FALSE))</f>
        <v>#N/A</v>
      </c>
      <c r="D5" s="9" t="e">
        <f>IF(B5="","",VLOOKUP(B5,'Iteraciones Ciclo 2'!$E$1:$H$9,5,FALSE))</f>
        <v>#N/A</v>
      </c>
      <c r="F5" s="78" t="s">
        <v>36</v>
      </c>
      <c r="G5" s="79" t="e">
        <f>GETPIVOTDATA("Adjudicada a",Tablas1!$A$3)-G4</f>
        <v>#REF!</v>
      </c>
    </row>
    <row r="6" spans="1:7" x14ac:dyDescent="0.25">
      <c r="A6" s="9">
        <f t="shared" ref="A6:A53" si="0">IF(B6="","",A5+1)</f>
        <v>3</v>
      </c>
      <c r="B6" s="83">
        <v>9481</v>
      </c>
      <c r="C6" s="9" t="e">
        <f>IF(B6="","",VLOOKUP(B6,'Iteraciones Ciclo 2'!$E$1:$H$9,3,FALSE))</f>
        <v>#N/A</v>
      </c>
      <c r="D6" s="9" t="e">
        <f>IF(B6="","",VLOOKUP(B6,'Iteraciones Ciclo 2'!$E$1:$H$9,5,FALSE))</f>
        <v>#N/A</v>
      </c>
      <c r="F6" s="80" t="s">
        <v>37</v>
      </c>
      <c r="G6" s="79" t="e">
        <f>'Iteraciones Ciclo 2'!#REF!</f>
        <v>#REF!</v>
      </c>
    </row>
    <row r="7" spans="1:7" x14ac:dyDescent="0.25">
      <c r="A7" s="9">
        <f t="shared" si="0"/>
        <v>4</v>
      </c>
      <c r="B7" s="83">
        <v>9868</v>
      </c>
      <c r="C7" s="9" t="e">
        <f>IF(B7="","",VLOOKUP(B7,'Iteraciones Ciclo 2'!$E$1:$H$9,3,FALSE))</f>
        <v>#N/A</v>
      </c>
      <c r="D7" s="9" t="e">
        <f>IF(B7="","",VLOOKUP(B7,'Iteraciones Ciclo 2'!$E$1:$H$9,5,FALSE))</f>
        <v>#N/A</v>
      </c>
      <c r="F7" s="81" t="s">
        <v>38</v>
      </c>
      <c r="G7" s="79" t="e">
        <f>'Iteraciones Ciclo 2'!#REF!</f>
        <v>#REF!</v>
      </c>
    </row>
    <row r="8" spans="1:7" x14ac:dyDescent="0.25">
      <c r="A8" s="9">
        <f t="shared" si="0"/>
        <v>5</v>
      </c>
      <c r="B8" s="83">
        <v>9761</v>
      </c>
      <c r="C8" s="9" t="e">
        <f>IF(B8="","",VLOOKUP(B8,'Iteraciones Ciclo 2'!$E$1:$H$9,3,FALSE))</f>
        <v>#N/A</v>
      </c>
      <c r="D8" s="9" t="e">
        <f>IF(B8="","",VLOOKUP(B8,'Iteraciones Ciclo 2'!$E$1:$H$9,5,FALSE))</f>
        <v>#N/A</v>
      </c>
      <c r="F8" s="84"/>
      <c r="G8" s="85"/>
    </row>
    <row r="9" spans="1:7" x14ac:dyDescent="0.25">
      <c r="A9" s="9">
        <f t="shared" si="0"/>
        <v>6</v>
      </c>
      <c r="B9" s="83">
        <v>10039</v>
      </c>
      <c r="C9" s="9" t="e">
        <f>IF(B9="","",VLOOKUP(B9,'Iteraciones Ciclo 2'!$E$1:$H$9,3,FALSE))</f>
        <v>#N/A</v>
      </c>
      <c r="D9" s="9" t="e">
        <f>IF(B9="","",VLOOKUP(B9,'Iteraciones Ciclo 2'!$E$1:$H$9,5,FALSE))</f>
        <v>#N/A</v>
      </c>
      <c r="F9" s="86"/>
      <c r="G9" s="87"/>
    </row>
    <row r="10" spans="1:7" x14ac:dyDescent="0.25">
      <c r="A10" s="9">
        <f t="shared" si="0"/>
        <v>7</v>
      </c>
      <c r="B10" s="83">
        <v>9469</v>
      </c>
      <c r="C10" s="9" t="e">
        <f>IF(B10="","",VLOOKUP(B10,'Iteraciones Ciclo 2'!$E$1:$H$9,3,FALSE))</f>
        <v>#N/A</v>
      </c>
      <c r="D10" s="9" t="e">
        <f>IF(B10="","",VLOOKUP(B10,'Iteraciones Ciclo 2'!$E$1:$H$9,5,FALSE))</f>
        <v>#N/A</v>
      </c>
    </row>
    <row r="11" spans="1:7" x14ac:dyDescent="0.25">
      <c r="A11" s="9">
        <f t="shared" si="0"/>
        <v>8</v>
      </c>
      <c r="B11" s="83">
        <v>9465</v>
      </c>
      <c r="C11" s="9" t="e">
        <f>IF(B11="","",VLOOKUP(B11,'Iteraciones Ciclo 2'!$E$1:$H$9,3,FALSE))</f>
        <v>#N/A</v>
      </c>
      <c r="D11" s="9" t="e">
        <f>IF(B11="","",VLOOKUP(B11,'Iteraciones Ciclo 2'!$E$1:$H$9,5,FALSE))</f>
        <v>#N/A</v>
      </c>
    </row>
    <row r="12" spans="1:7" x14ac:dyDescent="0.25">
      <c r="A12" s="9">
        <f t="shared" si="0"/>
        <v>9</v>
      </c>
      <c r="B12" s="83">
        <v>9473</v>
      </c>
      <c r="C12" s="9" t="e">
        <f>IF(B12="","",VLOOKUP(B12,'Iteraciones Ciclo 2'!$E$1:$H$9,3,FALSE))</f>
        <v>#N/A</v>
      </c>
      <c r="D12" s="9" t="e">
        <f>IF(B12="","",VLOOKUP(B12,'Iteraciones Ciclo 2'!$E$1:$H$9,5,FALSE))</f>
        <v>#N/A</v>
      </c>
    </row>
    <row r="13" spans="1:7" x14ac:dyDescent="0.25">
      <c r="A13" s="9">
        <f t="shared" si="0"/>
        <v>10</v>
      </c>
      <c r="B13" s="83">
        <v>9479</v>
      </c>
      <c r="C13" s="9" t="e">
        <f>IF(B13="","",VLOOKUP(B13,'Iteraciones Ciclo 2'!$E$1:$H$9,3,FALSE))</f>
        <v>#N/A</v>
      </c>
      <c r="D13" s="9" t="e">
        <f>IF(B13="","",VLOOKUP(B13,'Iteraciones Ciclo 2'!$E$1:$H$9,5,FALSE))</f>
        <v>#N/A</v>
      </c>
    </row>
    <row r="14" spans="1:7" x14ac:dyDescent="0.25">
      <c r="A14" s="9">
        <f t="shared" si="0"/>
        <v>11</v>
      </c>
      <c r="B14" s="83">
        <v>9478</v>
      </c>
      <c r="C14" s="9" t="e">
        <f>IF(B14="","",VLOOKUP(B14,'Iteraciones Ciclo 2'!$E$1:$H$9,3,FALSE))</f>
        <v>#N/A</v>
      </c>
      <c r="D14" s="9" t="e">
        <f>IF(B14="","",VLOOKUP(B14,'Iteraciones Ciclo 2'!$E$1:$H$9,5,FALSE))</f>
        <v>#N/A</v>
      </c>
    </row>
    <row r="15" spans="1:7" x14ac:dyDescent="0.25">
      <c r="A15" s="9">
        <f t="shared" si="0"/>
        <v>12</v>
      </c>
      <c r="B15" s="83">
        <v>9735</v>
      </c>
      <c r="C15" s="9" t="e">
        <f>IF(B15="","",VLOOKUP(B15,'Iteraciones Ciclo 2'!$E$1:$H$9,3,FALSE))</f>
        <v>#N/A</v>
      </c>
      <c r="D15" s="9" t="e">
        <f>IF(B15="","",VLOOKUP(B15,'Iteraciones Ciclo 2'!$E$1:$H$9,5,FALSE))</f>
        <v>#N/A</v>
      </c>
    </row>
    <row r="16" spans="1:7" x14ac:dyDescent="0.25">
      <c r="A16" s="9">
        <f t="shared" si="0"/>
        <v>13</v>
      </c>
      <c r="B16" s="83">
        <v>9869</v>
      </c>
      <c r="C16" s="9" t="e">
        <f>IF(B16="","",VLOOKUP(B16,'Iteraciones Ciclo 2'!$E$1:$H$9,3,FALSE))</f>
        <v>#N/A</v>
      </c>
      <c r="D16" s="9" t="e">
        <f>IF(B16="","",VLOOKUP(B16,'Iteraciones Ciclo 2'!$E$1:$H$9,5,FALSE))</f>
        <v>#N/A</v>
      </c>
    </row>
    <row r="17" spans="1:4" x14ac:dyDescent="0.25">
      <c r="A17" s="9">
        <f t="shared" si="0"/>
        <v>14</v>
      </c>
      <c r="B17" s="83">
        <v>9895</v>
      </c>
      <c r="C17" s="9" t="e">
        <f>IF(B17="","",VLOOKUP(B17,'Iteraciones Ciclo 2'!$E$1:$H$9,3,FALSE))</f>
        <v>#N/A</v>
      </c>
      <c r="D17" s="9" t="e">
        <f>IF(B17="","",VLOOKUP(B17,'Iteraciones Ciclo 2'!$E$1:$H$9,5,FALSE))</f>
        <v>#N/A</v>
      </c>
    </row>
    <row r="18" spans="1:4" x14ac:dyDescent="0.25">
      <c r="A18" s="9">
        <f t="shared" si="0"/>
        <v>15</v>
      </c>
      <c r="B18" s="83">
        <v>10014</v>
      </c>
      <c r="C18" s="9" t="e">
        <f>IF(B18="","",VLOOKUP(B18,'Iteraciones Ciclo 2'!$E$1:$H$9,3,FALSE))</f>
        <v>#N/A</v>
      </c>
      <c r="D18" s="9" t="e">
        <f>IF(B18="","",VLOOKUP(B18,'Iteraciones Ciclo 2'!$E$1:$H$9,5,FALSE))</f>
        <v>#N/A</v>
      </c>
    </row>
    <row r="19" spans="1:4" x14ac:dyDescent="0.25">
      <c r="A19" s="9">
        <f t="shared" si="0"/>
        <v>16</v>
      </c>
      <c r="B19" s="83">
        <v>10016</v>
      </c>
      <c r="C19" s="9" t="e">
        <f>IF(B19="","",VLOOKUP(B19,'Iteraciones Ciclo 2'!$E$1:$H$9,3,FALSE))</f>
        <v>#N/A</v>
      </c>
      <c r="D19" s="9" t="e">
        <f>IF(B19="","",VLOOKUP(B19,'Iteraciones Ciclo 2'!$E$1:$H$9,5,FALSE))</f>
        <v>#N/A</v>
      </c>
    </row>
    <row r="20" spans="1:4" x14ac:dyDescent="0.25">
      <c r="A20" s="9">
        <f t="shared" si="0"/>
        <v>17</v>
      </c>
      <c r="B20" s="83">
        <v>9847</v>
      </c>
      <c r="C20" s="9" t="e">
        <f>IF(B20="","",VLOOKUP(B20,'Iteraciones Ciclo 2'!$E$1:$H$9,3,FALSE))</f>
        <v>#N/A</v>
      </c>
      <c r="D20" s="9" t="e">
        <f>IF(B20="","",VLOOKUP(B20,'Iteraciones Ciclo 2'!$E$1:$H$9,5,FALSE))</f>
        <v>#N/A</v>
      </c>
    </row>
    <row r="21" spans="1:4" x14ac:dyDescent="0.25">
      <c r="A21" s="9">
        <f t="shared" si="0"/>
        <v>18</v>
      </c>
      <c r="B21" s="83">
        <v>9846</v>
      </c>
      <c r="C21" s="9" t="e">
        <f>IF(B21="","",VLOOKUP(B21,'Iteraciones Ciclo 2'!$E$1:$H$9,3,FALSE))</f>
        <v>#N/A</v>
      </c>
      <c r="D21" s="9" t="e">
        <f>IF(B21="","",VLOOKUP(B21,'Iteraciones Ciclo 2'!$E$1:$H$9,5,FALSE))</f>
        <v>#N/A</v>
      </c>
    </row>
    <row r="22" spans="1:4" x14ac:dyDescent="0.25">
      <c r="A22" s="9">
        <f t="shared" si="0"/>
        <v>19</v>
      </c>
      <c r="B22" s="83">
        <v>9848</v>
      </c>
      <c r="C22" s="9" t="e">
        <f>IF(B22="","",VLOOKUP(B22,'Iteraciones Ciclo 2'!$E$1:$H$9,3,FALSE))</f>
        <v>#N/A</v>
      </c>
      <c r="D22" s="9" t="e">
        <f>IF(B22="","",VLOOKUP(B22,'Iteraciones Ciclo 2'!$E$1:$H$9,5,FALSE))</f>
        <v>#N/A</v>
      </c>
    </row>
    <row r="23" spans="1:4" x14ac:dyDescent="0.25">
      <c r="A23" s="9">
        <f t="shared" si="0"/>
        <v>20</v>
      </c>
      <c r="B23" s="83">
        <v>9935</v>
      </c>
      <c r="C23" s="9" t="e">
        <f>IF(B23="","",VLOOKUP(B23,'Iteraciones Ciclo 2'!$E$1:$H$9,3,FALSE))</f>
        <v>#N/A</v>
      </c>
      <c r="D23" s="9" t="e">
        <f>IF(B23="","",VLOOKUP(B23,'Iteraciones Ciclo 2'!$E$1:$H$9,5,FALSE))</f>
        <v>#N/A</v>
      </c>
    </row>
    <row r="24" spans="1:4" x14ac:dyDescent="0.25">
      <c r="A24" s="9" t="str">
        <f t="shared" si="0"/>
        <v/>
      </c>
      <c r="C24" s="9" t="str">
        <f>IF(B24="","",VLOOKUP(B24,'Iteraciones Ciclo 2'!$E$1:$H$9,3,FALSE))</f>
        <v/>
      </c>
      <c r="D24" s="9" t="str">
        <f>IF(B24="","",VLOOKUP(B24,'Iteraciones Ciclo 2'!$E$1:$H$9,5,FALSE))</f>
        <v/>
      </c>
    </row>
    <row r="25" spans="1:4" x14ac:dyDescent="0.25">
      <c r="A25" s="9" t="str">
        <f t="shared" si="0"/>
        <v/>
      </c>
      <c r="C25" s="9" t="str">
        <f>IF(B25="","",VLOOKUP(B25,'Iteraciones Ciclo 2'!$E$1:$H$9,3,FALSE))</f>
        <v/>
      </c>
      <c r="D25" s="9" t="str">
        <f>IF(B25="","",VLOOKUP(B25,'Iteraciones Ciclo 2'!$E$1:$H$9,5,FALSE))</f>
        <v/>
      </c>
    </row>
    <row r="26" spans="1:4" x14ac:dyDescent="0.25">
      <c r="A26" s="9" t="str">
        <f t="shared" si="0"/>
        <v/>
      </c>
      <c r="C26" s="9" t="str">
        <f>IF(B26="","",VLOOKUP(B26,'Iteraciones Ciclo 2'!$E$1:$H$9,3,FALSE))</f>
        <v/>
      </c>
      <c r="D26" s="9" t="str">
        <f>IF(B26="","",VLOOKUP(B26,'Iteraciones Ciclo 2'!$E$1:$H$9,5,FALSE))</f>
        <v/>
      </c>
    </row>
    <row r="27" spans="1:4" x14ac:dyDescent="0.25">
      <c r="A27" s="9" t="str">
        <f t="shared" si="0"/>
        <v/>
      </c>
      <c r="C27" s="9" t="str">
        <f>IF(B27="","",VLOOKUP(B27,'Iteraciones Ciclo 2'!$E$1:$H$9,3,FALSE))</f>
        <v/>
      </c>
      <c r="D27" s="9" t="str">
        <f>IF(B27="","",VLOOKUP(B27,'Iteraciones Ciclo 2'!$E$1:$H$9,5,FALSE))</f>
        <v/>
      </c>
    </row>
    <row r="28" spans="1:4" x14ac:dyDescent="0.25">
      <c r="A28" s="9" t="str">
        <f t="shared" si="0"/>
        <v/>
      </c>
      <c r="C28" s="9" t="str">
        <f>IF(B28="","",VLOOKUP(B28,'Iteraciones Ciclo 2'!$E$1:$H$9,3,FALSE))</f>
        <v/>
      </c>
      <c r="D28" s="9" t="str">
        <f>IF(B28="","",VLOOKUP(B28,'Iteraciones Ciclo 2'!$E$1:$H$9,5,FALSE))</f>
        <v/>
      </c>
    </row>
    <row r="29" spans="1:4" x14ac:dyDescent="0.25">
      <c r="A29" s="9" t="str">
        <f t="shared" si="0"/>
        <v/>
      </c>
      <c r="C29" s="9" t="str">
        <f>IF(B29="","",VLOOKUP(B29,'Iteraciones Ciclo 2'!$E$1:$H$9,3,FALSE))</f>
        <v/>
      </c>
      <c r="D29" s="9" t="str">
        <f>IF(B29="","",VLOOKUP(B29,'Iteraciones Ciclo 2'!$E$1:$H$9,5,FALSE))</f>
        <v/>
      </c>
    </row>
    <row r="30" spans="1:4" x14ac:dyDescent="0.25">
      <c r="A30" s="9" t="str">
        <f t="shared" si="0"/>
        <v/>
      </c>
      <c r="C30" s="9" t="str">
        <f>IF(B30="","",VLOOKUP(B30,'Iteraciones Ciclo 2'!$E$1:$H$9,3,FALSE))</f>
        <v/>
      </c>
      <c r="D30" s="9" t="str">
        <f>IF(B30="","",VLOOKUP(B30,'Iteraciones Ciclo 2'!$E$1:$H$9,5,FALSE))</f>
        <v/>
      </c>
    </row>
    <row r="31" spans="1:4" x14ac:dyDescent="0.25">
      <c r="A31" s="9" t="str">
        <f t="shared" si="0"/>
        <v/>
      </c>
      <c r="C31" s="9" t="str">
        <f>IF(B31="","",VLOOKUP(B31,'Iteraciones Ciclo 2'!$E$1:$H$9,3,FALSE))</f>
        <v/>
      </c>
      <c r="D31" s="9" t="str">
        <f>IF(B31="","",VLOOKUP(B31,'Iteraciones Ciclo 2'!$E$1:$H$9,5,FALSE))</f>
        <v/>
      </c>
    </row>
    <row r="32" spans="1:4" x14ac:dyDescent="0.25">
      <c r="A32" s="9" t="str">
        <f t="shared" si="0"/>
        <v/>
      </c>
      <c r="C32" s="9" t="str">
        <f>IF(B32="","",VLOOKUP(B32,'Iteraciones Ciclo 2'!$E$1:$H$9,3,FALSE))</f>
        <v/>
      </c>
      <c r="D32" s="9" t="str">
        <f>IF(B32="","",VLOOKUP(B32,'Iteraciones Ciclo 2'!$E$1:$H$9,5,FALSE))</f>
        <v/>
      </c>
    </row>
    <row r="33" spans="1:4" x14ac:dyDescent="0.25">
      <c r="A33" s="9" t="str">
        <f t="shared" si="0"/>
        <v/>
      </c>
      <c r="C33" s="9" t="str">
        <f>IF(B33="","",VLOOKUP(B33,'Iteraciones Ciclo 2'!$E$1:$H$9,3,FALSE))</f>
        <v/>
      </c>
      <c r="D33" s="9" t="str">
        <f>IF(B33="","",VLOOKUP(B33,'Iteraciones Ciclo 2'!$E$1:$H$9,5,FALSE))</f>
        <v/>
      </c>
    </row>
    <row r="34" spans="1:4" x14ac:dyDescent="0.25">
      <c r="A34" s="9" t="str">
        <f t="shared" si="0"/>
        <v/>
      </c>
      <c r="C34" s="9" t="str">
        <f>IF(B34="","",VLOOKUP(B34,'Iteraciones Ciclo 2'!$E$1:$H$9,3,FALSE))</f>
        <v/>
      </c>
      <c r="D34" s="9" t="str">
        <f>IF(B34="","",VLOOKUP(B34,'Iteraciones Ciclo 2'!$E$1:$H$9,5,FALSE))</f>
        <v/>
      </c>
    </row>
    <row r="35" spans="1:4" x14ac:dyDescent="0.25">
      <c r="A35" s="9" t="str">
        <f t="shared" si="0"/>
        <v/>
      </c>
      <c r="C35" s="9" t="str">
        <f>IF(B35="","",VLOOKUP(B35,'Iteraciones Ciclo 2'!$E$1:$H$9,3,FALSE))</f>
        <v/>
      </c>
      <c r="D35" s="9" t="str">
        <f>IF(B35="","",VLOOKUP(B35,'Iteraciones Ciclo 2'!$E$1:$H$9,5,FALSE))</f>
        <v/>
      </c>
    </row>
    <row r="36" spans="1:4" x14ac:dyDescent="0.25">
      <c r="A36" s="9" t="str">
        <f t="shared" si="0"/>
        <v/>
      </c>
      <c r="C36" s="9" t="str">
        <f>IF(B36="","",VLOOKUP(B36,'Iteraciones Ciclo 2'!$E$1:$H$9,3,FALSE))</f>
        <v/>
      </c>
      <c r="D36" s="9" t="str">
        <f>IF(B36="","",VLOOKUP(B36,'Iteraciones Ciclo 2'!$E$1:$H$9,5,FALSE))</f>
        <v/>
      </c>
    </row>
    <row r="37" spans="1:4" x14ac:dyDescent="0.25">
      <c r="A37" s="9" t="str">
        <f t="shared" si="0"/>
        <v/>
      </c>
      <c r="C37" s="9" t="str">
        <f>IF(B37="","",VLOOKUP(B37,'Iteraciones Ciclo 2'!$E$1:$H$9,3,FALSE))</f>
        <v/>
      </c>
      <c r="D37" s="9" t="str">
        <f>IF(B37="","",VLOOKUP(B37,'Iteraciones Ciclo 2'!$E$1:$H$9,5,FALSE))</f>
        <v/>
      </c>
    </row>
    <row r="38" spans="1:4" x14ac:dyDescent="0.25">
      <c r="A38" s="9" t="str">
        <f t="shared" si="0"/>
        <v/>
      </c>
      <c r="C38" s="9" t="str">
        <f>IF(B38="","",VLOOKUP(B38,'Iteraciones Ciclo 2'!$E$1:$H$9,3,FALSE))</f>
        <v/>
      </c>
      <c r="D38" s="9" t="str">
        <f>IF(B38="","",VLOOKUP(B38,'Iteraciones Ciclo 2'!$E$1:$H$9,5,FALSE))</f>
        <v/>
      </c>
    </row>
    <row r="39" spans="1:4" x14ac:dyDescent="0.25">
      <c r="A39" s="9" t="str">
        <f t="shared" si="0"/>
        <v/>
      </c>
      <c r="C39" s="9" t="str">
        <f>IF(B39="","",VLOOKUP(B39,'Iteraciones Ciclo 2'!$E$1:$H$9,3,FALSE))</f>
        <v/>
      </c>
      <c r="D39" s="9" t="str">
        <f>IF(B39="","",VLOOKUP(B39,'Iteraciones Ciclo 2'!$E$1:$H$9,5,FALSE))</f>
        <v/>
      </c>
    </row>
    <row r="40" spans="1:4" x14ac:dyDescent="0.25">
      <c r="A40" s="9" t="str">
        <f t="shared" si="0"/>
        <v/>
      </c>
      <c r="C40" s="9" t="str">
        <f>IF(B40="","",VLOOKUP(B40,'Iteraciones Ciclo 2'!$E$1:$H$9,3,FALSE))</f>
        <v/>
      </c>
      <c r="D40" s="9" t="str">
        <f>IF(B40="","",VLOOKUP(B40,'Iteraciones Ciclo 2'!$E$1:$H$9,5,FALSE))</f>
        <v/>
      </c>
    </row>
    <row r="41" spans="1:4" x14ac:dyDescent="0.25">
      <c r="A41" s="9" t="str">
        <f t="shared" si="0"/>
        <v/>
      </c>
      <c r="C41" s="9" t="str">
        <f>IF(B41="","",VLOOKUP(B41,'Iteraciones Ciclo 2'!$E$1:$H$9,3,FALSE))</f>
        <v/>
      </c>
      <c r="D41" s="9" t="str">
        <f>IF(B41="","",VLOOKUP(B41,'Iteraciones Ciclo 2'!$E$1:$H$9,5,FALSE))</f>
        <v/>
      </c>
    </row>
    <row r="42" spans="1:4" x14ac:dyDescent="0.25">
      <c r="A42" s="9" t="str">
        <f t="shared" si="0"/>
        <v/>
      </c>
      <c r="C42" s="9" t="str">
        <f>IF(B42="","",VLOOKUP(B42,'Iteraciones Ciclo 2'!$E$1:$H$9,3,FALSE))</f>
        <v/>
      </c>
      <c r="D42" s="9" t="str">
        <f>IF(B42="","",VLOOKUP(B42,'Iteraciones Ciclo 2'!$E$1:$H$9,5,FALSE))</f>
        <v/>
      </c>
    </row>
    <row r="43" spans="1:4" x14ac:dyDescent="0.25">
      <c r="A43" s="9" t="str">
        <f t="shared" si="0"/>
        <v/>
      </c>
      <c r="C43" s="9" t="str">
        <f>IF(B43="","",VLOOKUP(B43,'Iteraciones Ciclo 2'!$E$1:$H$9,3,FALSE))</f>
        <v/>
      </c>
      <c r="D43" s="9" t="str">
        <f>IF(B43="","",VLOOKUP(B43,'Iteraciones Ciclo 2'!$E$1:$H$9,5,FALSE))</f>
        <v/>
      </c>
    </row>
    <row r="44" spans="1:4" x14ac:dyDescent="0.25">
      <c r="A44" s="9" t="str">
        <f t="shared" si="0"/>
        <v/>
      </c>
      <c r="C44" s="9" t="str">
        <f>IF(B44="","",VLOOKUP(B44,'Iteraciones Ciclo 2'!$E$1:$H$9,3,FALSE))</f>
        <v/>
      </c>
      <c r="D44" s="9" t="str">
        <f>IF(B44="","",VLOOKUP(B44,'Iteraciones Ciclo 2'!$E$1:$H$9,5,FALSE))</f>
        <v/>
      </c>
    </row>
    <row r="45" spans="1:4" x14ac:dyDescent="0.25">
      <c r="A45" s="9" t="str">
        <f t="shared" si="0"/>
        <v/>
      </c>
      <c r="C45" s="9" t="str">
        <f>IF(B45="","",VLOOKUP(B45,'Iteraciones Ciclo 2'!$E$1:$H$9,3,FALSE))</f>
        <v/>
      </c>
      <c r="D45" s="9" t="str">
        <f>IF(B45="","",VLOOKUP(B45,'Iteraciones Ciclo 2'!$E$1:$H$9,5,FALSE))</f>
        <v/>
      </c>
    </row>
    <row r="46" spans="1:4" x14ac:dyDescent="0.25">
      <c r="A46" s="9" t="str">
        <f t="shared" si="0"/>
        <v/>
      </c>
      <c r="C46" s="9" t="str">
        <f>IF(B46="","",VLOOKUP(B46,'Iteraciones Ciclo 2'!$E$1:$H$9,3,FALSE))</f>
        <v/>
      </c>
      <c r="D46" s="9" t="str">
        <f>IF(B46="","",VLOOKUP(B46,'Iteraciones Ciclo 2'!$E$1:$H$9,5,FALSE))</f>
        <v/>
      </c>
    </row>
    <row r="47" spans="1:4" x14ac:dyDescent="0.25">
      <c r="A47" s="9" t="str">
        <f t="shared" si="0"/>
        <v/>
      </c>
      <c r="C47" s="9" t="str">
        <f>IF(B47="","",VLOOKUP(B47,'Iteraciones Ciclo 2'!$E$1:$H$9,3,FALSE))</f>
        <v/>
      </c>
      <c r="D47" s="9" t="str">
        <f>IF(B47="","",VLOOKUP(B47,'Iteraciones Ciclo 2'!$E$1:$H$9,5,FALSE))</f>
        <v/>
      </c>
    </row>
    <row r="48" spans="1:4" x14ac:dyDescent="0.25">
      <c r="A48" s="9" t="str">
        <f t="shared" si="0"/>
        <v/>
      </c>
      <c r="C48" s="9" t="str">
        <f>IF(B48="","",VLOOKUP(B48,'Iteraciones Ciclo 2'!$E$1:$H$9,3,FALSE))</f>
        <v/>
      </c>
      <c r="D48" s="9" t="str">
        <f>IF(B48="","",VLOOKUP(B48,'Iteraciones Ciclo 2'!$E$1:$H$9,5,FALSE))</f>
        <v/>
      </c>
    </row>
    <row r="49" spans="1:4" x14ac:dyDescent="0.25">
      <c r="A49" s="9" t="str">
        <f t="shared" si="0"/>
        <v/>
      </c>
      <c r="C49" s="9" t="str">
        <f>IF(B49="","",VLOOKUP(B49,'Iteraciones Ciclo 2'!$E$1:$H$9,3,FALSE))</f>
        <v/>
      </c>
      <c r="D49" s="9" t="str">
        <f>IF(B49="","",VLOOKUP(B49,'Iteraciones Ciclo 2'!$E$1:$H$9,5,FALSE))</f>
        <v/>
      </c>
    </row>
    <row r="50" spans="1:4" x14ac:dyDescent="0.25">
      <c r="A50" s="9" t="str">
        <f t="shared" si="0"/>
        <v/>
      </c>
      <c r="C50" s="9" t="str">
        <f>IF(B50="","",VLOOKUP(B50,'Iteraciones Ciclo 2'!$E$1:$H$9,3,FALSE))</f>
        <v/>
      </c>
      <c r="D50" s="9" t="str">
        <f>IF(B50="","",VLOOKUP(B50,'Iteraciones Ciclo 2'!$E$1:$H$9,5,FALSE))</f>
        <v/>
      </c>
    </row>
    <row r="51" spans="1:4" x14ac:dyDescent="0.25">
      <c r="A51" s="9" t="str">
        <f t="shared" si="0"/>
        <v/>
      </c>
      <c r="C51" s="9" t="str">
        <f>IF(B51="","",VLOOKUP(B51,'Iteraciones Ciclo 2'!$E$1:$H$9,3,FALSE))</f>
        <v/>
      </c>
      <c r="D51" s="9" t="str">
        <f>IF(B51="","",VLOOKUP(B51,'Iteraciones Ciclo 2'!$E$1:$H$9,5,FALSE))</f>
        <v/>
      </c>
    </row>
    <row r="52" spans="1:4" x14ac:dyDescent="0.25">
      <c r="A52" s="9" t="str">
        <f t="shared" si="0"/>
        <v/>
      </c>
      <c r="C52" s="9" t="str">
        <f>IF(B52="","",VLOOKUP(B52,'Iteraciones Ciclo 2'!$E$1:$H$9,3,FALSE))</f>
        <v/>
      </c>
      <c r="D52" s="9" t="str">
        <f>IF(B52="","",VLOOKUP(B52,'Iteraciones Ciclo 2'!$E$1:$H$9,5,FALSE))</f>
        <v/>
      </c>
    </row>
    <row r="53" spans="1:4" x14ac:dyDescent="0.25">
      <c r="A53" s="9" t="str">
        <f t="shared" si="0"/>
        <v/>
      </c>
      <c r="C53" s="9" t="str">
        <f>IF(B53="","",VLOOKUP(B53,'Iteraciones Ciclo 2'!$E$1:$H$9,3,FALSE))</f>
        <v/>
      </c>
      <c r="D53" s="9" t="str">
        <f>IF(B53="","",VLOOKUP(B53,'Iteraciones Ciclo 2'!$E$1:$H$9,5,FALSE))</f>
        <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E33"/>
  <sheetViews>
    <sheetView showGridLines="0" topLeftCell="A10" zoomScale="90" zoomScaleNormal="90" workbookViewId="0">
      <selection activeCell="B22" sqref="B22"/>
    </sheetView>
  </sheetViews>
  <sheetFormatPr baseColWidth="10" defaultColWidth="11.42578125" defaultRowHeight="15" x14ac:dyDescent="0.25"/>
  <cols>
    <col min="1" max="1" width="30.85546875" style="23" customWidth="1"/>
    <col min="2" max="2" width="14.42578125" style="23" customWidth="1"/>
    <col min="3" max="4" width="18.7109375" style="23" customWidth="1"/>
    <col min="5" max="5" width="17.42578125" style="23" customWidth="1"/>
    <col min="6" max="16384" width="11.42578125" style="23"/>
  </cols>
  <sheetData>
    <row r="1" spans="1:5" ht="24" thickBot="1" x14ac:dyDescent="0.4">
      <c r="A1" s="100" t="s">
        <v>39</v>
      </c>
      <c r="B1" s="72"/>
    </row>
    <row r="2" spans="1:5" ht="22.5" thickTop="1" thickBot="1" x14ac:dyDescent="0.3">
      <c r="A2" s="102" t="s">
        <v>40</v>
      </c>
      <c r="B2" s="105" t="s">
        <v>41</v>
      </c>
      <c r="C2" s="101" t="s">
        <v>42</v>
      </c>
      <c r="D2" s="101" t="s">
        <v>43</v>
      </c>
      <c r="E2" s="101" t="s">
        <v>44</v>
      </c>
    </row>
    <row r="3" spans="1:5" ht="21.75" thickBot="1" x14ac:dyDescent="0.4">
      <c r="A3" s="90" t="s">
        <v>41</v>
      </c>
      <c r="B3" s="91" t="e">
        <f>+B4+B5</f>
        <v>#REF!</v>
      </c>
      <c r="C3" s="92" t="e">
        <f t="shared" ref="C3:D3" si="0">+C4+C5</f>
        <v>#REF!</v>
      </c>
      <c r="D3" s="93" t="e">
        <f t="shared" si="0"/>
        <v>#REF!</v>
      </c>
      <c r="E3" s="93" t="e">
        <f t="shared" ref="E3" si="1">+E4+E5</f>
        <v>#REF!</v>
      </c>
    </row>
    <row r="4" spans="1:5" x14ac:dyDescent="0.25">
      <c r="A4" s="23" t="s">
        <v>35</v>
      </c>
      <c r="B4" s="106" t="e">
        <f>SUM(C4:D4)</f>
        <v>#REF!</v>
      </c>
      <c r="C4" s="103" t="e">
        <f>'Iteraciones Ciclo 2'!#REF!</f>
        <v>#REF!</v>
      </c>
      <c r="D4" s="24" t="e">
        <f>'Iteraciones Ciclo 2'!#REF!</f>
        <v>#REF!</v>
      </c>
      <c r="E4" s="24" t="e">
        <f>'Iteraciones Ciclo 2'!#REF!</f>
        <v>#REF!</v>
      </c>
    </row>
    <row r="5" spans="1:5" ht="15.75" thickBot="1" x14ac:dyDescent="0.3">
      <c r="A5" s="23" t="s">
        <v>36</v>
      </c>
      <c r="B5" s="107" t="e">
        <f>SUM(C5:D5)</f>
        <v>#REF!</v>
      </c>
      <c r="C5" s="103" t="e">
        <f>COUNTIFS(#REF!,"Cerrada",#REF!,$C2)</f>
        <v>#REF!</v>
      </c>
      <c r="D5" s="24" t="e">
        <f>COUNTIFS(#REF!,"Cerrada",#REF!,$D2)</f>
        <v>#REF!</v>
      </c>
      <c r="E5" s="24" t="e">
        <f>COUNTIFS(#REF!,"Cerrada",#REF!,$E2)</f>
        <v>#REF!</v>
      </c>
    </row>
    <row r="6" spans="1:5" ht="15.75" thickTop="1" x14ac:dyDescent="0.25">
      <c r="A6" s="59" t="s">
        <v>45</v>
      </c>
      <c r="B6" s="104" t="e">
        <f>SUM(C6:D6)</f>
        <v>#REF!</v>
      </c>
      <c r="C6" s="24" t="e">
        <f>'Iteraciones Ciclo 2'!#REF!</f>
        <v>#REF!</v>
      </c>
      <c r="D6" s="24" t="e">
        <f>'Iteraciones Ciclo 2'!#REF!</f>
        <v>#REF!</v>
      </c>
      <c r="E6" s="24" t="e">
        <f>'Iteraciones Ciclo 2'!#REF!</f>
        <v>#REF!</v>
      </c>
    </row>
    <row r="7" spans="1:5" x14ac:dyDescent="0.25">
      <c r="A7" s="60" t="s">
        <v>46</v>
      </c>
      <c r="B7" s="24" t="e">
        <f t="shared" ref="B7:B8" si="2">SUM(C7:D7)</f>
        <v>#REF!</v>
      </c>
      <c r="C7" s="24" t="e">
        <f>'Iteraciones Ciclo 2'!#REF!</f>
        <v>#REF!</v>
      </c>
      <c r="D7" s="24" t="e">
        <f>'Iteraciones Ciclo 2'!#REF!</f>
        <v>#REF!</v>
      </c>
      <c r="E7" s="24" t="e">
        <f>'Iteraciones Ciclo 2'!#REF!</f>
        <v>#REF!</v>
      </c>
    </row>
    <row r="8" spans="1:5" x14ac:dyDescent="0.25">
      <c r="A8" s="59" t="s">
        <v>47</v>
      </c>
      <c r="B8" s="24" t="e">
        <f t="shared" si="2"/>
        <v>#REF!</v>
      </c>
      <c r="C8" s="24" t="e">
        <f>'Iteraciones Ciclo 2'!#REF!</f>
        <v>#REF!</v>
      </c>
      <c r="D8" s="24" t="e">
        <f>'Iteraciones Ciclo 2'!#REF!</f>
        <v>#REF!</v>
      </c>
      <c r="E8" s="24" t="e">
        <f>'Iteraciones Ciclo 2'!#REF!</f>
        <v>#REF!</v>
      </c>
    </row>
    <row r="9" spans="1:5" x14ac:dyDescent="0.25">
      <c r="A9" s="61"/>
      <c r="B9" s="61"/>
    </row>
    <row r="10" spans="1:5" ht="15.75" thickBot="1" x14ac:dyDescent="0.3">
      <c r="B10" s="94"/>
      <c r="C10" s="95" t="s">
        <v>42</v>
      </c>
      <c r="D10" s="95" t="s">
        <v>43</v>
      </c>
      <c r="E10" s="95" t="s">
        <v>43</v>
      </c>
    </row>
    <row r="11" spans="1:5" ht="15.75" thickTop="1" x14ac:dyDescent="0.25">
      <c r="B11" s="96" t="s">
        <v>45</v>
      </c>
      <c r="C11" s="97" t="e">
        <f>+C6/$B$4</f>
        <v>#REF!</v>
      </c>
      <c r="D11" s="97" t="e">
        <f t="shared" ref="D11:E13" si="3">+D6/$B$4</f>
        <v>#REF!</v>
      </c>
      <c r="E11" s="97" t="e">
        <f t="shared" si="3"/>
        <v>#REF!</v>
      </c>
    </row>
    <row r="12" spans="1:5" x14ac:dyDescent="0.25">
      <c r="B12" s="98" t="s">
        <v>46</v>
      </c>
      <c r="C12" s="97" t="e">
        <f t="shared" ref="C12" si="4">+C7/$B$4</f>
        <v>#REF!</v>
      </c>
      <c r="D12" s="97" t="e">
        <f t="shared" si="3"/>
        <v>#REF!</v>
      </c>
      <c r="E12" s="97" t="e">
        <f t="shared" si="3"/>
        <v>#REF!</v>
      </c>
    </row>
    <row r="13" spans="1:5" x14ac:dyDescent="0.25">
      <c r="B13" s="99" t="s">
        <v>47</v>
      </c>
      <c r="C13" s="97" t="e">
        <f t="shared" ref="C13" si="5">+C8/$B$4</f>
        <v>#REF!</v>
      </c>
      <c r="D13" s="97" t="e">
        <f t="shared" si="3"/>
        <v>#REF!</v>
      </c>
      <c r="E13" s="97" t="e">
        <f t="shared" si="3"/>
        <v>#REF!</v>
      </c>
    </row>
    <row r="21" spans="1:2" ht="18.75" x14ac:dyDescent="0.25">
      <c r="A21" s="108" t="s">
        <v>48</v>
      </c>
      <c r="B21" s="109" t="s">
        <v>41</v>
      </c>
    </row>
    <row r="22" spans="1:2" ht="15.75" x14ac:dyDescent="0.25">
      <c r="A22" s="74" t="s">
        <v>49</v>
      </c>
      <c r="B22" s="111" t="e">
        <f>'Iteraciones Ciclo 2'!#REF!</f>
        <v>#REF!</v>
      </c>
    </row>
    <row r="23" spans="1:2" ht="15.75" x14ac:dyDescent="0.25">
      <c r="A23" s="74" t="s">
        <v>50</v>
      </c>
      <c r="B23" s="119" t="e">
        <f>+'Iteraciones Ciclo 2'!#REF!</f>
        <v>#REF!</v>
      </c>
    </row>
    <row r="24" spans="1:2" ht="15.75" x14ac:dyDescent="0.25">
      <c r="A24" s="74" t="s">
        <v>15</v>
      </c>
      <c r="B24" s="112" t="e">
        <f>'Iteraciones Ciclo 2'!#REF!</f>
        <v>#REF!</v>
      </c>
    </row>
    <row r="25" spans="1:2" ht="15.75" x14ac:dyDescent="0.25">
      <c r="A25" s="74" t="s">
        <v>51</v>
      </c>
      <c r="B25" s="112" t="e">
        <f>'Iteraciones Ciclo 2'!#REF!</f>
        <v>#REF!</v>
      </c>
    </row>
    <row r="26" spans="1:2" ht="15.75" x14ac:dyDescent="0.25">
      <c r="A26" s="73" t="s">
        <v>14</v>
      </c>
      <c r="B26" s="113" t="e">
        <f>'Iteraciones Ciclo 2'!#REF!</f>
        <v>#REF!</v>
      </c>
    </row>
    <row r="27" spans="1:2" x14ac:dyDescent="0.25">
      <c r="A27" s="114" t="s">
        <v>52</v>
      </c>
      <c r="B27" s="115" t="e">
        <f>B26+B22+B24</f>
        <v>#REF!</v>
      </c>
    </row>
    <row r="28" spans="1:2" ht="15.75" x14ac:dyDescent="0.25">
      <c r="A28" s="74" t="s">
        <v>53</v>
      </c>
      <c r="B28" s="110" t="e">
        <f>B29-B27</f>
        <v>#REF!</v>
      </c>
    </row>
    <row r="29" spans="1:2" ht="15.75" x14ac:dyDescent="0.25">
      <c r="A29" s="73" t="s">
        <v>54</v>
      </c>
      <c r="B29" s="116" t="e">
        <f>'Iteraciones Ciclo 2'!#REF!</f>
        <v>#REF!</v>
      </c>
    </row>
    <row r="30" spans="1:2" ht="15.75" x14ac:dyDescent="0.25">
      <c r="A30" s="74" t="s">
        <v>55</v>
      </c>
      <c r="B30" s="117" t="e">
        <f>'Iteraciones Ciclo 2'!#REF!</f>
        <v>#REF!</v>
      </c>
    </row>
    <row r="31" spans="1:2" ht="15.75" x14ac:dyDescent="0.25">
      <c r="A31" s="73" t="s">
        <v>56</v>
      </c>
      <c r="B31" s="117" t="e">
        <f>'Iteraciones Ciclo 2'!#REF!</f>
        <v>#REF!</v>
      </c>
    </row>
    <row r="32" spans="1:2" ht="15.75" x14ac:dyDescent="0.25">
      <c r="A32" s="75" t="s">
        <v>57</v>
      </c>
      <c r="B32" s="118" t="e">
        <f>'Iteraciones Ciclo 2'!#REF!</f>
        <v>#REF!</v>
      </c>
    </row>
    <row r="33" spans="1:2" ht="15.75" x14ac:dyDescent="0.25">
      <c r="A33" s="88"/>
      <c r="B33" s="89"/>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O18"/>
  <sheetViews>
    <sheetView showGridLines="0" zoomScaleNormal="100" workbookViewId="0">
      <selection activeCell="F19" sqref="F19"/>
    </sheetView>
  </sheetViews>
  <sheetFormatPr baseColWidth="10" defaultColWidth="11.42578125" defaultRowHeight="15" x14ac:dyDescent="0.25"/>
  <cols>
    <col min="1" max="1" width="19.28515625" bestFit="1" customWidth="1"/>
    <col min="2" max="15" width="5.85546875" customWidth="1"/>
    <col min="18" max="18" width="13.85546875" bestFit="1" customWidth="1"/>
    <col min="19" max="19" width="4.42578125" bestFit="1" customWidth="1"/>
  </cols>
  <sheetData>
    <row r="1" spans="1:15" ht="12.75" customHeight="1" x14ac:dyDescent="0.25">
      <c r="A1" s="62"/>
      <c r="B1" s="63">
        <v>43941</v>
      </c>
      <c r="C1" s="64">
        <v>43942</v>
      </c>
      <c r="D1" s="64">
        <v>43943</v>
      </c>
      <c r="E1" s="64">
        <v>43944</v>
      </c>
      <c r="F1" s="64">
        <v>43945</v>
      </c>
      <c r="G1" s="64">
        <v>43948</v>
      </c>
      <c r="H1" s="64">
        <v>43949</v>
      </c>
      <c r="I1" s="64">
        <v>43950</v>
      </c>
      <c r="J1" s="64">
        <v>43951</v>
      </c>
      <c r="K1" s="64">
        <v>43955</v>
      </c>
      <c r="L1" s="64">
        <v>43956</v>
      </c>
      <c r="M1" s="64">
        <v>43957</v>
      </c>
      <c r="N1" s="64">
        <v>43958</v>
      </c>
      <c r="O1" s="64">
        <v>43959</v>
      </c>
    </row>
    <row r="2" spans="1:15" s="5" customFormat="1" ht="12.75" x14ac:dyDescent="0.2">
      <c r="A2" s="66" t="s">
        <v>58</v>
      </c>
      <c r="B2" s="26">
        <v>0</v>
      </c>
      <c r="C2" s="27">
        <v>39</v>
      </c>
      <c r="D2" s="27">
        <v>39</v>
      </c>
      <c r="E2" s="27">
        <v>39</v>
      </c>
      <c r="F2" s="27">
        <v>39</v>
      </c>
      <c r="G2" s="27">
        <v>39</v>
      </c>
      <c r="H2" s="27">
        <v>39</v>
      </c>
      <c r="I2" s="27">
        <v>39</v>
      </c>
      <c r="J2" s="27">
        <v>39</v>
      </c>
      <c r="K2" s="27">
        <v>39</v>
      </c>
      <c r="L2" s="27">
        <v>36</v>
      </c>
      <c r="M2" s="27"/>
      <c r="N2" s="27"/>
      <c r="O2" s="27"/>
    </row>
    <row r="3" spans="1:15" s="5" customFormat="1" ht="12.75" x14ac:dyDescent="0.2">
      <c r="A3" s="67" t="s">
        <v>59</v>
      </c>
      <c r="B3" s="28">
        <f>IF(B2="","",B2)</f>
        <v>0</v>
      </c>
      <c r="C3" s="29">
        <f>IF(C2="","",B3+C2)</f>
        <v>39</v>
      </c>
      <c r="D3" s="29">
        <f t="shared" ref="D3:J3" si="0">IF(D2="","",C3+D2)</f>
        <v>78</v>
      </c>
      <c r="E3" s="29">
        <f t="shared" si="0"/>
        <v>117</v>
      </c>
      <c r="F3" s="29">
        <f t="shared" si="0"/>
        <v>156</v>
      </c>
      <c r="G3" s="29">
        <f t="shared" si="0"/>
        <v>195</v>
      </c>
      <c r="H3" s="29">
        <f t="shared" si="0"/>
        <v>234</v>
      </c>
      <c r="I3" s="29">
        <f t="shared" si="0"/>
        <v>273</v>
      </c>
      <c r="J3" s="29">
        <f t="shared" si="0"/>
        <v>312</v>
      </c>
      <c r="K3" s="29">
        <f t="shared" ref="K3" si="1">IF(K2="","",J3+K2)</f>
        <v>351</v>
      </c>
      <c r="L3" s="29">
        <f t="shared" ref="L3" si="2">IF(L2="","",K3+L2)</f>
        <v>387</v>
      </c>
      <c r="M3" s="29" t="str">
        <f t="shared" ref="M3" si="3">IF(M2="","",L3+M2)</f>
        <v/>
      </c>
      <c r="N3" s="29" t="str">
        <f t="shared" ref="N3" si="4">IF(N2="","",M3+N2)</f>
        <v/>
      </c>
      <c r="O3" s="29" t="str">
        <f t="shared" ref="O3" si="5">IF(O2="","",N3+O2)</f>
        <v/>
      </c>
    </row>
    <row r="4" spans="1:15" s="5" customFormat="1" ht="12.75" x14ac:dyDescent="0.2">
      <c r="A4" s="68" t="s">
        <v>60</v>
      </c>
      <c r="B4" s="26">
        <v>0</v>
      </c>
      <c r="C4" s="27">
        <v>35</v>
      </c>
      <c r="D4" s="27">
        <v>30</v>
      </c>
      <c r="E4" s="27">
        <v>33</v>
      </c>
      <c r="F4" s="27">
        <v>31</v>
      </c>
      <c r="G4" s="27">
        <v>40</v>
      </c>
      <c r="H4" s="27"/>
      <c r="I4" s="27"/>
      <c r="J4" s="27"/>
      <c r="K4" s="30"/>
      <c r="L4" s="30"/>
      <c r="M4" s="30"/>
      <c r="N4" s="30"/>
      <c r="O4" s="30"/>
    </row>
    <row r="5" spans="1:15" s="5" customFormat="1" ht="12.75" x14ac:dyDescent="0.2">
      <c r="A5" s="69" t="s">
        <v>61</v>
      </c>
      <c r="B5" s="31">
        <f>IF(B4="","",B4)</f>
        <v>0</v>
      </c>
      <c r="C5" s="32">
        <f>IF(C4="","",B5+C4)</f>
        <v>35</v>
      </c>
      <c r="D5" s="32">
        <f t="shared" ref="D5" si="6">IF(D4="","",C5+D4)</f>
        <v>65</v>
      </c>
      <c r="E5" s="32">
        <f t="shared" ref="E5" si="7">IF(E4="","",D5+E4)</f>
        <v>98</v>
      </c>
      <c r="F5" s="32">
        <f t="shared" ref="F5" si="8">IF(F4="","",E5+F4)</f>
        <v>129</v>
      </c>
      <c r="G5" s="32">
        <f t="shared" ref="G5" si="9">IF(G4="","",F5+G4)</f>
        <v>169</v>
      </c>
      <c r="H5" s="32" t="str">
        <f t="shared" ref="H5" si="10">IF(H4="","",G5+H4)</f>
        <v/>
      </c>
      <c r="I5" s="32" t="str">
        <f t="shared" ref="I5" si="11">IF(I4="","",H5+I4)</f>
        <v/>
      </c>
      <c r="J5" s="32" t="str">
        <f t="shared" ref="J5" si="12">IF(J4="","",I5+J4)</f>
        <v/>
      </c>
      <c r="K5" s="32" t="str">
        <f t="shared" ref="K5" si="13">IF(K4="","",J5+K4)</f>
        <v/>
      </c>
      <c r="L5" s="32" t="str">
        <f t="shared" ref="L5" si="14">IF(L4="","",K5+L4)</f>
        <v/>
      </c>
      <c r="M5" s="32" t="str">
        <f t="shared" ref="M5" si="15">IF(M4="","",L5+M4)</f>
        <v/>
      </c>
      <c r="N5" s="32" t="str">
        <f t="shared" ref="N5" si="16">IF(N4="","",M5+N4)</f>
        <v/>
      </c>
      <c r="O5" s="32" t="str">
        <f t="shared" ref="O5" si="17">IF(O4="","",N5+O4)</f>
        <v/>
      </c>
    </row>
    <row r="6" spans="1:15" s="5" customFormat="1" ht="12.75" x14ac:dyDescent="0.2">
      <c r="A6" s="38" t="s">
        <v>62</v>
      </c>
      <c r="B6" s="56"/>
      <c r="C6" s="39"/>
      <c r="D6" s="39"/>
      <c r="E6" s="39"/>
      <c r="F6" s="39"/>
      <c r="G6" s="39">
        <v>40</v>
      </c>
      <c r="H6" s="39">
        <v>50</v>
      </c>
      <c r="I6" s="39">
        <v>45</v>
      </c>
      <c r="J6" s="39">
        <v>55</v>
      </c>
      <c r="K6" s="39">
        <v>43</v>
      </c>
      <c r="L6" s="39">
        <v>25</v>
      </c>
      <c r="M6" s="27"/>
      <c r="N6" s="27"/>
      <c r="O6" s="27"/>
    </row>
    <row r="7" spans="1:15" s="5" customFormat="1" ht="12.75" x14ac:dyDescent="0.2">
      <c r="A7" s="70" t="s">
        <v>63</v>
      </c>
      <c r="B7" s="33" t="str">
        <f>IF(B13="","",B13)</f>
        <v/>
      </c>
      <c r="C7" s="34" t="str">
        <f t="shared" ref="C7:O7" si="18">IF(C13="","",C13)</f>
        <v/>
      </c>
      <c r="D7" s="34" t="str">
        <f t="shared" si="18"/>
        <v/>
      </c>
      <c r="E7" s="34" t="str">
        <f t="shared" si="18"/>
        <v/>
      </c>
      <c r="F7" s="34" t="str">
        <f t="shared" si="18"/>
        <v/>
      </c>
      <c r="G7" s="34">
        <f t="shared" si="18"/>
        <v>169</v>
      </c>
      <c r="H7" s="34">
        <f t="shared" si="18"/>
        <v>219</v>
      </c>
      <c r="I7" s="34">
        <f t="shared" si="18"/>
        <v>264</v>
      </c>
      <c r="J7" s="34">
        <f t="shared" si="18"/>
        <v>319</v>
      </c>
      <c r="K7" s="34">
        <f t="shared" si="18"/>
        <v>362</v>
      </c>
      <c r="L7" s="34">
        <f t="shared" si="18"/>
        <v>387</v>
      </c>
      <c r="M7" s="34" t="str">
        <f t="shared" si="18"/>
        <v/>
      </c>
      <c r="N7" s="34" t="str">
        <f t="shared" si="18"/>
        <v/>
      </c>
      <c r="O7" s="34" t="str">
        <f t="shared" si="18"/>
        <v/>
      </c>
    </row>
    <row r="8" spans="1:15" s="5" customFormat="1" ht="12.75" x14ac:dyDescent="0.2">
      <c r="A8" s="71" t="s">
        <v>64</v>
      </c>
      <c r="B8" s="65" t="e">
        <f t="shared" ref="B8:O8" si="19">IF(B11="","",B11-B10)</f>
        <v>#REF!</v>
      </c>
      <c r="C8" s="36" t="e">
        <f t="shared" si="19"/>
        <v>#REF!</v>
      </c>
      <c r="D8" s="36" t="e">
        <f t="shared" si="19"/>
        <v>#REF!</v>
      </c>
      <c r="E8" s="36" t="e">
        <f t="shared" si="19"/>
        <v>#REF!</v>
      </c>
      <c r="F8" s="36" t="e">
        <f t="shared" si="19"/>
        <v>#REF!</v>
      </c>
      <c r="G8" s="36" t="e">
        <f t="shared" si="19"/>
        <v>#REF!</v>
      </c>
      <c r="H8" s="36" t="str">
        <f t="shared" si="19"/>
        <v/>
      </c>
      <c r="I8" s="36" t="str">
        <f t="shared" si="19"/>
        <v/>
      </c>
      <c r="J8" s="36" t="str">
        <f t="shared" si="19"/>
        <v/>
      </c>
      <c r="K8" s="36" t="str">
        <f t="shared" si="19"/>
        <v/>
      </c>
      <c r="L8" s="36" t="str">
        <f t="shared" si="19"/>
        <v/>
      </c>
      <c r="M8" s="36" t="str">
        <f t="shared" si="19"/>
        <v/>
      </c>
      <c r="N8" s="36" t="str">
        <f t="shared" si="19"/>
        <v/>
      </c>
      <c r="O8" s="36" t="str">
        <f t="shared" si="19"/>
        <v/>
      </c>
    </row>
    <row r="9" spans="1:15" s="5" customFormat="1" ht="12.75" x14ac:dyDescent="0.2">
      <c r="A9" s="35"/>
      <c r="B9" s="36"/>
      <c r="C9" s="36"/>
      <c r="D9" s="36"/>
      <c r="E9" s="36"/>
      <c r="F9" s="36"/>
      <c r="G9" s="36"/>
      <c r="H9" s="36"/>
      <c r="I9" s="36"/>
      <c r="J9" s="36"/>
      <c r="K9" s="36"/>
      <c r="L9" s="36"/>
      <c r="M9" s="36"/>
      <c r="N9" s="36"/>
      <c r="O9" s="37"/>
    </row>
    <row r="10" spans="1:15" s="5" customFormat="1" ht="12.75" x14ac:dyDescent="0.2">
      <c r="A10" s="45" t="s">
        <v>65</v>
      </c>
      <c r="B10" s="54" t="e">
        <f t="shared" ref="B10:O10" si="20">IF(B3="","",B3/$B$17)</f>
        <v>#REF!</v>
      </c>
      <c r="C10" s="46" t="e">
        <f t="shared" si="20"/>
        <v>#REF!</v>
      </c>
      <c r="D10" s="46" t="e">
        <f t="shared" si="20"/>
        <v>#REF!</v>
      </c>
      <c r="E10" s="46" t="e">
        <f t="shared" si="20"/>
        <v>#REF!</v>
      </c>
      <c r="F10" s="46" t="e">
        <f t="shared" si="20"/>
        <v>#REF!</v>
      </c>
      <c r="G10" s="46" t="e">
        <f t="shared" si="20"/>
        <v>#REF!</v>
      </c>
      <c r="H10" s="46" t="e">
        <f t="shared" si="20"/>
        <v>#REF!</v>
      </c>
      <c r="I10" s="46" t="e">
        <f t="shared" si="20"/>
        <v>#REF!</v>
      </c>
      <c r="J10" s="46" t="e">
        <f t="shared" si="20"/>
        <v>#REF!</v>
      </c>
      <c r="K10" s="46" t="e">
        <f t="shared" si="20"/>
        <v>#REF!</v>
      </c>
      <c r="L10" s="46" t="e">
        <f t="shared" si="20"/>
        <v>#REF!</v>
      </c>
      <c r="M10" s="46" t="str">
        <f t="shared" si="20"/>
        <v/>
      </c>
      <c r="N10" s="46" t="str">
        <f t="shared" si="20"/>
        <v/>
      </c>
      <c r="O10" s="47" t="str">
        <f t="shared" si="20"/>
        <v/>
      </c>
    </row>
    <row r="11" spans="1:15" s="5" customFormat="1" ht="12.75" x14ac:dyDescent="0.2">
      <c r="A11" s="48" t="s">
        <v>66</v>
      </c>
      <c r="B11" s="55" t="e">
        <f t="shared" ref="B11:O11" si="21">IF(B5="","",B5/$B$17)</f>
        <v>#REF!</v>
      </c>
      <c r="C11" s="49" t="e">
        <f t="shared" si="21"/>
        <v>#REF!</v>
      </c>
      <c r="D11" s="49" t="e">
        <f t="shared" si="21"/>
        <v>#REF!</v>
      </c>
      <c r="E11" s="49" t="e">
        <f t="shared" si="21"/>
        <v>#REF!</v>
      </c>
      <c r="F11" s="49" t="e">
        <f t="shared" si="21"/>
        <v>#REF!</v>
      </c>
      <c r="G11" s="49" t="e">
        <f t="shared" si="21"/>
        <v>#REF!</v>
      </c>
      <c r="H11" s="49" t="str">
        <f t="shared" si="21"/>
        <v/>
      </c>
      <c r="I11" s="49" t="str">
        <f t="shared" si="21"/>
        <v/>
      </c>
      <c r="J11" s="49" t="str">
        <f t="shared" si="21"/>
        <v/>
      </c>
      <c r="K11" s="49" t="str">
        <f t="shared" si="21"/>
        <v/>
      </c>
      <c r="L11" s="49" t="str">
        <f t="shared" si="21"/>
        <v/>
      </c>
      <c r="M11" s="49" t="str">
        <f t="shared" si="21"/>
        <v/>
      </c>
      <c r="N11" s="49" t="str">
        <f t="shared" si="21"/>
        <v/>
      </c>
      <c r="O11" s="50" t="str">
        <f t="shared" si="21"/>
        <v/>
      </c>
    </row>
    <row r="12" spans="1:15" x14ac:dyDescent="0.25">
      <c r="A12" s="38" t="s">
        <v>62</v>
      </c>
      <c r="B12" s="56"/>
      <c r="C12" s="39"/>
      <c r="D12" s="39"/>
      <c r="E12" s="39"/>
      <c r="F12" s="39"/>
      <c r="G12" s="39">
        <v>40</v>
      </c>
      <c r="H12" s="39">
        <v>50</v>
      </c>
      <c r="I12" s="39">
        <v>45</v>
      </c>
      <c r="J12" s="39">
        <v>55</v>
      </c>
      <c r="K12" s="39">
        <v>43</v>
      </c>
      <c r="L12" s="39">
        <v>25</v>
      </c>
      <c r="M12" s="39"/>
      <c r="N12" s="39"/>
      <c r="O12" s="40"/>
    </row>
    <row r="13" spans="1:15" x14ac:dyDescent="0.25">
      <c r="A13" s="51" t="s">
        <v>67</v>
      </c>
      <c r="B13" s="57"/>
      <c r="C13" s="52"/>
      <c r="D13" s="52"/>
      <c r="E13" s="52"/>
      <c r="F13" s="52"/>
      <c r="G13" s="52">
        <v>169</v>
      </c>
      <c r="H13" s="52">
        <f>IF(H12="","",G13+H12)</f>
        <v>219</v>
      </c>
      <c r="I13" s="52">
        <f>IF(I12="","",H13+I12)</f>
        <v>264</v>
      </c>
      <c r="J13" s="52">
        <f>IF(J12="","",I13+J12)</f>
        <v>319</v>
      </c>
      <c r="K13" s="52">
        <f>IF(K12="","",J13+K12)</f>
        <v>362</v>
      </c>
      <c r="L13" s="52">
        <f>IF(L12="","",K13+L12)</f>
        <v>387</v>
      </c>
      <c r="M13" s="52"/>
      <c r="N13" s="52"/>
      <c r="O13" s="53"/>
    </row>
    <row r="14" spans="1:15" x14ac:dyDescent="0.25">
      <c r="A14" s="41" t="s">
        <v>68</v>
      </c>
      <c r="B14" s="58"/>
      <c r="C14" s="42"/>
      <c r="D14" s="42"/>
      <c r="E14" s="42"/>
      <c r="F14" s="42"/>
      <c r="G14" s="43" t="e">
        <f t="shared" ref="G14:L14" si="22">IF(G13="","",G13/$B$17)</f>
        <v>#REF!</v>
      </c>
      <c r="H14" s="43" t="e">
        <f t="shared" si="22"/>
        <v>#REF!</v>
      </c>
      <c r="I14" s="43" t="e">
        <f t="shared" si="22"/>
        <v>#REF!</v>
      </c>
      <c r="J14" s="43" t="e">
        <f t="shared" si="22"/>
        <v>#REF!</v>
      </c>
      <c r="K14" s="43" t="e">
        <f t="shared" si="22"/>
        <v>#REF!</v>
      </c>
      <c r="L14" s="43" t="e">
        <f t="shared" si="22"/>
        <v>#REF!</v>
      </c>
      <c r="M14" s="42"/>
      <c r="N14" s="42"/>
      <c r="O14" s="44"/>
    </row>
    <row r="17" spans="1:3" x14ac:dyDescent="0.25">
      <c r="A17" s="10" t="s">
        <v>69</v>
      </c>
      <c r="B17" s="14" t="e">
        <f>+'Iteraciones Ciclo 2'!#REF!</f>
        <v>#REF!</v>
      </c>
      <c r="C17">
        <f>387-G3</f>
        <v>192</v>
      </c>
    </row>
    <row r="18" spans="1:3" x14ac:dyDescent="0.25">
      <c r="A18" s="10" t="s">
        <v>70</v>
      </c>
      <c r="B18" s="13" t="e">
        <f>+'Iteraciones Ciclo 2'!#REF!</f>
        <v>#REF!</v>
      </c>
      <c r="C18">
        <f>+L3-G5</f>
        <v>218</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G8"/>
  <sheetViews>
    <sheetView showGridLines="0" zoomScale="80" zoomScaleNormal="80" workbookViewId="0">
      <selection activeCell="B9" sqref="B9"/>
    </sheetView>
  </sheetViews>
  <sheetFormatPr baseColWidth="10" defaultColWidth="11.42578125" defaultRowHeight="15" x14ac:dyDescent="0.25"/>
  <cols>
    <col min="1" max="1" width="22" customWidth="1"/>
    <col min="2" max="4" width="21" customWidth="1"/>
    <col min="5" max="5" width="3" customWidth="1"/>
    <col min="6" max="6" width="10.28515625" bestFit="1" customWidth="1"/>
    <col min="7" max="7" width="12.42578125" bestFit="1" customWidth="1"/>
  </cols>
  <sheetData>
    <row r="1" spans="1:7" x14ac:dyDescent="0.25">
      <c r="A1" s="15" t="s">
        <v>29</v>
      </c>
      <c r="B1" t="s">
        <v>71</v>
      </c>
    </row>
    <row r="3" spans="1:7" x14ac:dyDescent="0.25">
      <c r="A3" s="16" t="s">
        <v>72</v>
      </c>
      <c r="B3" s="16" t="s">
        <v>73</v>
      </c>
      <c r="C3" s="11"/>
      <c r="D3" s="11"/>
    </row>
    <row r="4" spans="1:7" s="1" customFormat="1" ht="21.75" customHeight="1" x14ac:dyDescent="0.25">
      <c r="A4" s="17" t="s">
        <v>19</v>
      </c>
      <c r="B4" s="18" t="s">
        <v>37</v>
      </c>
      <c r="C4" s="18" t="s">
        <v>38</v>
      </c>
      <c r="D4" s="18" t="s">
        <v>26</v>
      </c>
      <c r="F4"/>
      <c r="G4"/>
    </row>
    <row r="5" spans="1:7" ht="16.5" thickBot="1" x14ac:dyDescent="0.3">
      <c r="A5" s="19" t="s">
        <v>74</v>
      </c>
      <c r="B5" s="20">
        <v>37</v>
      </c>
      <c r="C5" s="20">
        <v>31</v>
      </c>
      <c r="D5" s="20">
        <v>68</v>
      </c>
    </row>
    <row r="6" spans="1:7" ht="17.25" thickTop="1" thickBot="1" x14ac:dyDescent="0.3">
      <c r="A6" s="19" t="s">
        <v>75</v>
      </c>
      <c r="B6" s="20">
        <v>80</v>
      </c>
      <c r="C6" s="20"/>
      <c r="D6" s="20">
        <v>80</v>
      </c>
    </row>
    <row r="7" spans="1:7" ht="17.25" thickTop="1" thickBot="1" x14ac:dyDescent="0.3">
      <c r="A7" s="19" t="s">
        <v>76</v>
      </c>
      <c r="B7" s="20">
        <v>2</v>
      </c>
      <c r="C7" s="20"/>
      <c r="D7" s="20">
        <v>2</v>
      </c>
    </row>
    <row r="8" spans="1:7" ht="17.25" thickTop="1" thickBot="1" x14ac:dyDescent="0.3">
      <c r="A8" s="12" t="s">
        <v>26</v>
      </c>
      <c r="B8" s="21">
        <v>119</v>
      </c>
      <c r="C8" s="21">
        <v>31</v>
      </c>
      <c r="D8" s="22">
        <v>150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807705ED5651244A10DF97422428E66" ma:contentTypeVersion="12" ma:contentTypeDescription="Create a new document." ma:contentTypeScope="" ma:versionID="3f522a1362a2405f16ab24f603e3c730">
  <xsd:schema xmlns:xsd="http://www.w3.org/2001/XMLSchema" xmlns:xs="http://www.w3.org/2001/XMLSchema" xmlns:p="http://schemas.microsoft.com/office/2006/metadata/properties" xmlns:ns3="6d848fd9-bc74-460f-a23c-e202a061a83c" xmlns:ns4="39faee36-fb94-4bd5-ba3c-87167324353a" targetNamespace="http://schemas.microsoft.com/office/2006/metadata/properties" ma:root="true" ma:fieldsID="92fd5d1760913f9d4ccd9db757390860" ns3:_="" ns4:_="">
    <xsd:import namespace="6d848fd9-bc74-460f-a23c-e202a061a83c"/>
    <xsd:import namespace="39faee36-fb94-4bd5-ba3c-87167324353a"/>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GenerationTime" minOccurs="0"/>
                <xsd:element ref="ns4:MediaServiceEventHashCode" minOccurs="0"/>
                <xsd:element ref="ns4:MediaServiceDateTaken"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848fd9-bc74-460f-a23c-e202a061a83c"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9faee36-fb94-4bd5-ba3c-87167324353a"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DCCA700-794E-430A-9C3D-731B43D0FBE1}">
  <ds:schemaRefs>
    <ds:schemaRef ds:uri="http://schemas.microsoft.com/sharepoint/v3/contenttype/forms"/>
  </ds:schemaRefs>
</ds:datastoreItem>
</file>

<file path=customXml/itemProps2.xml><?xml version="1.0" encoding="utf-8"?>
<ds:datastoreItem xmlns:ds="http://schemas.openxmlformats.org/officeDocument/2006/customXml" ds:itemID="{B735DD59-CF57-4AC1-B08D-6203792F4902}">
  <ds:schemaRefs>
    <ds:schemaRef ds:uri="6d848fd9-bc74-460f-a23c-e202a061a83c"/>
    <ds:schemaRef ds:uri="39faee36-fb94-4bd5-ba3c-87167324353a"/>
    <ds:schemaRef ds:uri="http://purl.org/dc/elements/1.1/"/>
    <ds:schemaRef ds:uri="http://schemas.microsoft.com/office/2006/documentManagement/types"/>
    <ds:schemaRef ds:uri="http://schemas.microsoft.com/office/infopath/2007/PartnerControls"/>
    <ds:schemaRef ds:uri="http://purl.org/dc/terms/"/>
    <ds:schemaRef ds:uri="http://schemas.openxmlformats.org/package/2006/metadata/core-properties"/>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ABE05DB4-8DDE-4C46-AD02-A30578972A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848fd9-bc74-460f-a23c-e202a061a83c"/>
    <ds:schemaRef ds:uri="39faee36-fb94-4bd5-ba3c-87167324353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Iteraciones Ciclo 2</vt:lpstr>
      <vt:lpstr>Estado por HU</vt:lpstr>
      <vt:lpstr>Parametro</vt:lpstr>
      <vt:lpstr>Incidencias (graf)</vt:lpstr>
      <vt:lpstr>Gráficas Dif-IBM</vt:lpstr>
      <vt:lpstr>Curva de Avance</vt:lpstr>
      <vt:lpstr>Tablas1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Najla Ibrahim</dc:creator>
  <cp:keywords/>
  <dc:description/>
  <cp:lastModifiedBy>w10</cp:lastModifiedBy>
  <cp:revision/>
  <dcterms:created xsi:type="dcterms:W3CDTF">2020-02-26T18:41:41Z</dcterms:created>
  <dcterms:modified xsi:type="dcterms:W3CDTF">2023-06-07T21:33:15Z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0x010100C807705ED5651244A10DF97422428E66</vt:lpwstr>
  </property>
</Properties>
</file>